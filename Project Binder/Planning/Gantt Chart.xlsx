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D:\GitHub\csg-in2033\Project Binder\Planning\"/>
    </mc:Choice>
  </mc:AlternateContent>
  <xr:revisionPtr revIDLastSave="0" documentId="13_ncr:1_{F8D93696-FED8-4514-B06B-451904B18BA7}" xr6:coauthVersionLast="47" xr6:coauthVersionMax="47" xr10:uidLastSave="{00000000-0000-0000-0000-000000000000}"/>
  <bookViews>
    <workbookView xWindow="-120" yWindow="-120" windowWidth="29040" windowHeight="15720" xr2:uid="{00000000-000D-0000-FFFF-FFFF00000000}"/>
  </bookViews>
  <sheets>
    <sheet name="Project schedule" sheetId="11" r:id="rId1"/>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11" l="1"/>
  <c r="I5" i="11" l="1"/>
  <c r="H30" i="11"/>
  <c r="H29" i="11"/>
  <c r="H23" i="11"/>
  <c r="H12" i="11"/>
  <c r="H8" i="11"/>
  <c r="H24" i="11" l="1"/>
  <c r="H25" i="11"/>
  <c r="H9" i="11"/>
  <c r="I6" i="11"/>
  <c r="H28" i="11" l="1"/>
  <c r="H10" i="11"/>
  <c r="H26" i="11"/>
  <c r="H13" i="11"/>
  <c r="J5" i="11"/>
  <c r="K5" i="11" s="1"/>
  <c r="L5" i="11" s="1"/>
  <c r="M5" i="11" s="1"/>
  <c r="N5" i="11" s="1"/>
  <c r="O5" i="11" s="1"/>
  <c r="P5" i="11" s="1"/>
  <c r="I4" i="11"/>
  <c r="H27" i="11" l="1"/>
  <c r="H14" i="11"/>
  <c r="H11" i="11"/>
  <c r="P4" i="11"/>
  <c r="Q5" i="11"/>
  <c r="R5" i="11" s="1"/>
  <c r="S5" i="11" s="1"/>
  <c r="T5" i="11" s="1"/>
  <c r="U5" i="11" s="1"/>
  <c r="V5" i="11" s="1"/>
  <c r="W5" i="11" s="1"/>
  <c r="J6" i="11"/>
  <c r="H17" i="11" l="1"/>
  <c r="H16" i="11"/>
  <c r="H15"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<sst xmlns="http://schemas.openxmlformats.org/spreadsheetml/2006/main" count="37" uniqueCount="36">
  <si>
    <t>Insert new rows ABOVE this one</t>
  </si>
  <si>
    <t>PROGRESS</t>
  </si>
  <si>
    <t>START</t>
  </si>
  <si>
    <t>END</t>
  </si>
  <si>
    <t>TASK</t>
  </si>
  <si>
    <t xml:space="preserve">Do not delete this row. This row is hidden to preserve a formula that is used to highlight the current day within the project schedule. </t>
  </si>
  <si>
    <t>Initiation</t>
  </si>
  <si>
    <t>Project start:</t>
  </si>
  <si>
    <t>Display week:</t>
  </si>
  <si>
    <t>ASSIGNED TO</t>
  </si>
  <si>
    <t>IN2033 Project</t>
  </si>
  <si>
    <t>MediFlow Solutions</t>
  </si>
  <si>
    <t>Project lead: Furqan</t>
  </si>
  <si>
    <t>Deliverable 1</t>
  </si>
  <si>
    <t>Deliverable 2</t>
  </si>
  <si>
    <t>Team Name and Logo</t>
  </si>
  <si>
    <t>Dawud</t>
  </si>
  <si>
    <t>Set-up Project Binder</t>
  </si>
  <si>
    <t>Team</t>
  </si>
  <si>
    <t>Customer Interview</t>
  </si>
  <si>
    <t>Furqan, Bahja</t>
  </si>
  <si>
    <t>Use-case Diagram</t>
  </si>
  <si>
    <t>Volere Templates</t>
  </si>
  <si>
    <t>Use-case Specification</t>
  </si>
  <si>
    <t>Anticipated Evolution of 
system requirements</t>
  </si>
  <si>
    <t>Prioritised List of 
Use Cases</t>
  </si>
  <si>
    <t>High-level Design (component diagram)</t>
  </si>
  <si>
    <t>Class diagram of our subsystem</t>
  </si>
  <si>
    <t>Generated source code with comments</t>
  </si>
  <si>
    <t>Test cases</t>
  </si>
  <si>
    <t>Expected Hardware</t>
  </si>
  <si>
    <t>Furqan, Haris, James</t>
  </si>
  <si>
    <t>Bahja, Haris, Huzefa</t>
  </si>
  <si>
    <t>Dawud, Bahja</t>
  </si>
  <si>
    <t>Faisal</t>
  </si>
  <si>
    <t>James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</si>
</sst>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_(* \(#,##0.00\);_(* &quot;-&quot;??_);_(@_)"/>
    <numFmt numFmtId="165" formatCode="m/d/yy;@"/>
    <numFmt numFmtId="166" formatCode="ddd\,\ m/d/yyyy"/>
    <numFmt numFmtId="167" formatCode="mmm\ d\,\ yyyy"/>
    <numFmt numFmtId="168" formatCode="d"/>
    <numFmt numFmtId="169" formatCode="dd/mm/yyyy;@"/>
  </numFmts>
  <fonts count="26"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s>
  <fills count="11">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0" tint="-4.9989318521683403E-2"/>
        <bgColor theme="4"/>
      </patternFill>
    </fill>
    <fill>
      <patternFill patternType="solid">
        <fgColor theme="0" tint="-0.14996795556505021"/>
        <bgColor indexed="64"/>
      </patternFill>
    </fill>
  </fills>
  <borders count="20">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9"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98">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9" fillId="0" borderId="0" xfId="3"/>
    <xf numFmtId="0" fontId="9" fillId="0" borderId="0" xfId="3" applyAlignment="1">
      <alignment wrapText="1"/>
    </xf>
    <xf numFmtId="0" fontId="9" fillId="0" borderId="0" xfId="0" applyFont="1" applyAlignment="1">
      <alignment horizontal="center"/>
    </xf>
    <xf numFmtId="0" fontId="7" fillId="0" borderId="0" xfId="0" applyFont="1"/>
    <xf numFmtId="0" fontId="3" fillId="0" borderId="0" xfId="0" applyFont="1" applyAlignment="1">
      <alignment horizontal="center" vertical="center"/>
    </xf>
    <xf numFmtId="0" fontId="11" fillId="0" borderId="0" xfId="0" applyFont="1"/>
    <xf numFmtId="0" fontId="10" fillId="0" borderId="0" xfId="0" applyFont="1"/>
    <xf numFmtId="0" fontId="10" fillId="0" borderId="0" xfId="0" applyFont="1" applyAlignment="1">
      <alignment horizontal="center"/>
    </xf>
    <xf numFmtId="0" fontId="10" fillId="0" borderId="0" xfId="0" applyFont="1" applyAlignment="1">
      <alignment horizontal="center" vertical="center"/>
    </xf>
    <xf numFmtId="0" fontId="12" fillId="0" borderId="0" xfId="0" applyFont="1"/>
    <xf numFmtId="0" fontId="13" fillId="0" borderId="0" xfId="0" applyFont="1"/>
    <xf numFmtId="0" fontId="14"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8" fontId="17" fillId="10" borderId="18" xfId="0" applyNumberFormat="1" applyFont="1" applyFill="1" applyBorder="1" applyAlignment="1">
      <alignment horizontal="center" vertical="center"/>
    </xf>
    <xf numFmtId="168" fontId="17" fillId="10" borderId="16" xfId="0" applyNumberFormat="1" applyFont="1" applyFill="1" applyBorder="1" applyAlignment="1">
      <alignment horizontal="center" vertical="center"/>
    </xf>
    <xf numFmtId="168" fontId="17" fillId="10" borderId="17" xfId="0" applyNumberFormat="1" applyFont="1" applyFill="1" applyBorder="1" applyAlignment="1">
      <alignment horizontal="center" vertical="center"/>
    </xf>
    <xf numFmtId="0" fontId="18" fillId="2" borderId="15" xfId="0" applyFont="1" applyFill="1" applyBorder="1" applyAlignment="1">
      <alignment horizontal="center" vertical="center" shrinkToFit="1"/>
    </xf>
    <xf numFmtId="0" fontId="18" fillId="2" borderId="12" xfId="0" applyFont="1" applyFill="1" applyBorder="1" applyAlignment="1">
      <alignment horizontal="center" vertical="center" shrinkToFit="1"/>
    </xf>
    <xf numFmtId="0" fontId="18" fillId="2" borderId="13" xfId="0" applyFont="1" applyFill="1" applyBorder="1" applyAlignment="1">
      <alignment horizontal="center" vertical="center" shrinkToFit="1"/>
    </xf>
    <xf numFmtId="0" fontId="15" fillId="0" borderId="0" xfId="0" applyFont="1"/>
    <xf numFmtId="0" fontId="15" fillId="0" borderId="0" xfId="0" applyFont="1" applyAlignment="1">
      <alignment wrapText="1"/>
    </xf>
    <xf numFmtId="0" fontId="4" fillId="0" borderId="3" xfId="0" applyFont="1" applyBorder="1" applyAlignment="1">
      <alignment vertical="center"/>
    </xf>
    <xf numFmtId="0" fontId="19" fillId="6" borderId="0" xfId="0" applyFont="1" applyFill="1" applyAlignment="1">
      <alignment horizontal="left" vertical="center" indent="1"/>
    </xf>
    <xf numFmtId="0" fontId="15"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0" xfId="0" applyFont="1" applyBorder="1" applyAlignment="1">
      <alignment vertical="center"/>
    </xf>
    <xf numFmtId="0" fontId="4" fillId="0" borderId="0" xfId="0" applyFont="1" applyAlignment="1">
      <alignment vertical="center"/>
    </xf>
    <xf numFmtId="0" fontId="15" fillId="3" borderId="6" xfId="12" applyFont="1" applyFill="1" applyBorder="1">
      <alignment horizontal="left" vertical="center" indent="2"/>
    </xf>
    <xf numFmtId="0" fontId="15"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5" fillId="3" borderId="7" xfId="12" applyFont="1" applyFill="1" applyBorder="1">
      <alignment horizontal="left" vertical="center" indent="2"/>
    </xf>
    <xf numFmtId="0" fontId="15"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19" fillId="7" borderId="0" xfId="0" applyFont="1" applyFill="1" applyAlignment="1">
      <alignment horizontal="left" vertical="center" indent="1"/>
    </xf>
    <xf numFmtId="0" fontId="15" fillId="7" borderId="0" xfId="11" applyFont="1" applyFill="1" applyBorder="1" applyAlignment="1">
      <alignment vertical="center"/>
    </xf>
    <xf numFmtId="9" fontId="1" fillId="7" borderId="0" xfId="2" applyFont="1" applyFill="1" applyBorder="1" applyAlignment="1">
      <alignment horizontal="center" vertical="center"/>
    </xf>
    <xf numFmtId="0" fontId="15" fillId="4" borderId="5" xfId="12" applyFont="1" applyFill="1" applyBorder="1">
      <alignment horizontal="left" vertical="center" indent="2"/>
    </xf>
    <xf numFmtId="0" fontId="15" fillId="4" borderId="5" xfId="11" applyFont="1" applyFill="1" applyBorder="1" applyAlignment="1">
      <alignment vertical="center"/>
    </xf>
    <xf numFmtId="9" fontId="1" fillId="4" borderId="5" xfId="2" applyFont="1" applyFill="1" applyBorder="1" applyAlignment="1">
      <alignment horizontal="center" vertical="center"/>
    </xf>
    <xf numFmtId="0" fontId="19" fillId="8" borderId="0" xfId="0" applyFont="1" applyFill="1" applyAlignment="1">
      <alignment horizontal="left" vertical="center" indent="1"/>
    </xf>
    <xf numFmtId="0" fontId="15"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9" xfId="0" applyFont="1" applyBorder="1" applyAlignment="1">
      <alignment vertical="center"/>
    </xf>
    <xf numFmtId="0" fontId="15" fillId="5" borderId="8" xfId="12" applyFont="1" applyFill="1" applyBorder="1">
      <alignment horizontal="left" vertical="center" indent="2"/>
    </xf>
    <xf numFmtId="0" fontId="15" fillId="5" borderId="8" xfId="11" applyFont="1" applyFill="1" applyBorder="1" applyAlignment="1">
      <alignment vertical="center"/>
    </xf>
    <xf numFmtId="9" fontId="1" fillId="5" borderId="8" xfId="2" applyFont="1" applyFill="1" applyBorder="1" applyAlignment="1">
      <alignment horizontal="center" vertical="center"/>
    </xf>
    <xf numFmtId="0" fontId="15" fillId="0" borderId="0" xfId="12" applyFont="1" applyBorder="1">
      <alignment horizontal="left" vertical="center" indent="2"/>
    </xf>
    <xf numFmtId="0" fontId="15" fillId="0" borderId="0" xfId="11" applyFont="1" applyBorder="1" applyAlignment="1">
      <alignment vertical="center"/>
    </xf>
    <xf numFmtId="9" fontId="1" fillId="0" borderId="0" xfId="2" applyFont="1" applyBorder="1" applyAlignment="1">
      <alignment horizontal="center" vertical="center"/>
    </xf>
    <xf numFmtId="165" fontId="15" fillId="0" borderId="0" xfId="10" applyFont="1" applyBorder="1">
      <alignment horizontal="center" vertical="center"/>
    </xf>
    <xf numFmtId="0" fontId="20" fillId="2" borderId="0" xfId="0" applyFont="1" applyFill="1" applyAlignment="1">
      <alignment horizontal="left" vertical="center" indent="1"/>
    </xf>
    <xf numFmtId="0" fontId="20" fillId="2" borderId="0" xfId="0" applyFont="1" applyFill="1" applyAlignment="1">
      <alignment vertical="center"/>
    </xf>
    <xf numFmtId="9" fontId="1" fillId="2" borderId="0" xfId="2" applyFont="1" applyFill="1" applyBorder="1" applyAlignment="1">
      <alignment horizontal="center" vertical="center"/>
    </xf>
    <xf numFmtId="165" fontId="21" fillId="2" borderId="0" xfId="0" applyNumberFormat="1" applyFont="1" applyFill="1" applyAlignment="1">
      <alignment horizontal="left" vertical="center"/>
    </xf>
    <xf numFmtId="165" fontId="1" fillId="2" borderId="0" xfId="0" applyNumberFormat="1" applyFont="1" applyFill="1" applyAlignment="1">
      <alignment horizontal="center" vertical="center"/>
    </xf>
    <xf numFmtId="0" fontId="4" fillId="2" borderId="0" xfId="0" applyFont="1" applyFill="1" applyAlignment="1">
      <alignment vertical="center"/>
    </xf>
    <xf numFmtId="0" fontId="22" fillId="0" borderId="0" xfId="6" applyFont="1" applyAlignment="1">
      <alignment horizontal="left" vertical="center" indent="1"/>
    </xf>
    <xf numFmtId="0" fontId="22" fillId="0" borderId="0" xfId="7" applyFont="1" applyAlignment="1">
      <alignment horizontal="left" vertical="center" indent="1"/>
    </xf>
    <xf numFmtId="0" fontId="25" fillId="0" borderId="0" xfId="5" applyFont="1" applyAlignment="1">
      <alignment horizontal="left"/>
    </xf>
    <xf numFmtId="169" fontId="15"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5" fillId="3" borderId="6" xfId="10" applyNumberFormat="1" applyFont="1" applyFill="1" applyBorder="1">
      <alignment horizontal="center" vertical="center"/>
    </xf>
    <xf numFmtId="169" fontId="15" fillId="3" borderId="7" xfId="10" applyNumberFormat="1" applyFont="1" applyFill="1" applyBorder="1">
      <alignment horizontal="center" vertical="center"/>
    </xf>
    <xf numFmtId="169" fontId="15"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5" fillId="4" borderId="5" xfId="10" applyNumberFormat="1" applyFont="1" applyFill="1" applyBorder="1">
      <alignment horizontal="center" vertical="center"/>
    </xf>
    <xf numFmtId="169" fontId="15"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5" fillId="5" borderId="8" xfId="10" applyNumberFormat="1" applyFont="1" applyFill="1" applyBorder="1">
      <alignment horizontal="center" vertical="center"/>
    </xf>
    <xf numFmtId="0" fontId="15" fillId="4" borderId="5" xfId="12" applyFont="1" applyFill="1" applyBorder="1" applyAlignment="1">
      <alignment horizontal="left" vertical="center" wrapText="1" indent="2"/>
    </xf>
    <xf numFmtId="167" fontId="15" fillId="2" borderId="11" xfId="0" applyNumberFormat="1" applyFont="1" applyFill="1" applyBorder="1" applyAlignment="1">
      <alignment horizontal="center" vertical="center" wrapText="1"/>
    </xf>
    <xf numFmtId="167" fontId="15" fillId="2" borderId="17" xfId="0" applyNumberFormat="1" applyFont="1" applyFill="1" applyBorder="1" applyAlignment="1">
      <alignment horizontal="center" vertical="center" wrapText="1"/>
    </xf>
    <xf numFmtId="167" fontId="15" fillId="2" borderId="16" xfId="0" applyNumberFormat="1" applyFont="1" applyFill="1" applyBorder="1" applyAlignment="1">
      <alignment horizontal="center" vertical="center" wrapText="1"/>
    </xf>
    <xf numFmtId="0" fontId="16" fillId="9" borderId="14" xfId="0" applyFont="1" applyFill="1" applyBorder="1" applyAlignment="1">
      <alignment horizontal="center" vertical="center"/>
    </xf>
    <xf numFmtId="0" fontId="4" fillId="2" borderId="19" xfId="0" applyFont="1" applyFill="1" applyBorder="1"/>
    <xf numFmtId="0" fontId="23" fillId="0" borderId="0" xfId="0" applyFont="1" applyAlignment="1">
      <alignment horizontal="left"/>
    </xf>
    <xf numFmtId="0" fontId="24" fillId="0" borderId="0" xfId="0" applyFont="1"/>
    <xf numFmtId="14" fontId="23" fillId="0" borderId="0" xfId="9" applyNumberFormat="1" applyFont="1" applyBorder="1" applyAlignment="1">
      <alignment horizontal="left"/>
    </xf>
    <xf numFmtId="14" fontId="24" fillId="0" borderId="0" xfId="0" applyNumberFormat="1" applyFont="1"/>
    <xf numFmtId="0" fontId="22" fillId="0" borderId="0" xfId="8" applyFont="1" applyAlignment="1">
      <alignment horizontal="left"/>
    </xf>
    <xf numFmtId="0" fontId="4" fillId="0" borderId="0" xfId="0" applyFont="1"/>
    <xf numFmtId="0" fontId="9" fillId="0" borderId="0" xfId="3" applyAlignment="1">
      <alignment wrapText="1"/>
    </xf>
    <xf numFmtId="0" fontId="16" fillId="9" borderId="14" xfId="0" applyFont="1" applyFill="1" applyBorder="1" applyAlignment="1">
      <alignment horizontal="left" vertical="center" indent="1"/>
    </xf>
    <xf numFmtId="0" fontId="4" fillId="2" borderId="19" xfId="0" applyFont="1" applyFill="1" applyBorder="1" applyAlignment="1">
      <alignment horizontal="left" indent="1"/>
    </xf>
    <xf numFmtId="0" fontId="16" fillId="9" borderId="14" xfId="0" applyFont="1" applyFill="1" applyBorder="1" applyAlignment="1">
      <alignment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6">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5"/>
      <tableStyleElement type="headerRow" dxfId="14"/>
      <tableStyleElement type="totalRow" dxfId="13"/>
      <tableStyleElement type="firstColumn" dxfId="12"/>
      <tableStyleElement type="lastColumn" dxfId="11"/>
      <tableStyleElement type="firstRowStripe" dxfId="10"/>
      <tableStyleElement type="secondRowStripe" dxfId="9"/>
      <tableStyleElement type="firstColumnStripe" dxfId="8"/>
      <tableStyleElement type="secondColumn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3"/>
  <sheetViews>
    <sheetView showGridLines="0" tabSelected="1" showRuler="0" zoomScaleNormal="100" zoomScalePageLayoutView="70" workbookViewId="0">
      <selection activeCell="D16" sqref="D16"/>
    </sheetView>
  </sheetViews>
  <sheetFormatPr defaultColWidth="8.75" defaultRowHeight="30" customHeight="1" x14ac:dyDescent="0.2"/>
  <cols>
    <col min="1" max="1" width="2.75" style="7" customWidth="1"/>
    <col min="2" max="2" width="22.75" customWidth="1"/>
    <col min="3" max="3" width="16.75" customWidth="1"/>
    <col min="4" max="4" width="10.75" customWidth="1"/>
    <col min="5" max="5" width="10.75" style="2" customWidth="1"/>
    <col min="6" max="6" width="10.75" customWidth="1"/>
    <col min="7" max="7" width="2.75" customWidth="1"/>
    <col min="8" max="8" width="6" hidden="1" customWidth="1"/>
    <col min="9" max="65" width="2.75" customWidth="1"/>
  </cols>
  <sheetData>
    <row r="1" spans="1:64" ht="90" customHeight="1" x14ac:dyDescent="1.1000000000000001">
      <c r="A1" s="8"/>
      <c r="B1" s="71" t="s">
        <v>10</v>
      </c>
      <c r="C1" s="12"/>
      <c r="D1" s="13"/>
      <c r="E1" s="14"/>
      <c r="F1" s="15"/>
      <c r="H1" s="1"/>
      <c r="I1" s="92" t="s">
        <v>7</v>
      </c>
      <c r="J1" s="93"/>
      <c r="K1" s="93"/>
      <c r="L1" s="93"/>
      <c r="M1" s="93"/>
      <c r="N1" s="93"/>
      <c r="O1" s="93"/>
      <c r="P1" s="17"/>
      <c r="Q1" s="90">
        <v>46048</v>
      </c>
      <c r="R1" s="91"/>
      <c r="S1" s="91"/>
      <c r="T1" s="91"/>
      <c r="U1" s="91"/>
      <c r="V1" s="91"/>
      <c r="W1" s="91"/>
      <c r="X1" s="91"/>
      <c r="Y1" s="91"/>
      <c r="Z1" s="91"/>
    </row>
    <row r="2" spans="1:64" ht="30" customHeight="1" x14ac:dyDescent="0.5">
      <c r="B2" s="69" t="s">
        <v>11</v>
      </c>
      <c r="D2" s="70" t="s">
        <v>12</v>
      </c>
      <c r="F2" s="16"/>
      <c r="I2" s="92" t="s">
        <v>8</v>
      </c>
      <c r="J2" s="93"/>
      <c r="K2" s="93"/>
      <c r="L2" s="93"/>
      <c r="M2" s="93"/>
      <c r="N2" s="93"/>
      <c r="O2" s="93"/>
      <c r="P2" s="17"/>
      <c r="Q2" s="88">
        <v>1</v>
      </c>
      <c r="R2" s="89"/>
      <c r="S2" s="89"/>
      <c r="T2" s="89"/>
      <c r="U2" s="89"/>
      <c r="V2" s="89"/>
      <c r="W2" s="89"/>
      <c r="X2" s="89"/>
      <c r="Y2" s="89"/>
      <c r="Z2" s="89"/>
    </row>
    <row r="3" spans="1:64" s="19" customFormat="1" ht="30" customHeight="1" x14ac:dyDescent="0.25">
      <c r="A3" s="7"/>
      <c r="B3" s="18"/>
      <c r="D3" s="20"/>
      <c r="E3" s="21"/>
    </row>
    <row r="4" spans="1:64" s="19" customFormat="1" ht="30" customHeight="1" x14ac:dyDescent="0.2">
      <c r="A4" s="8"/>
      <c r="B4" s="22"/>
      <c r="E4" s="23"/>
      <c r="I4" s="85">
        <f>I5</f>
        <v>46048</v>
      </c>
      <c r="J4" s="83"/>
      <c r="K4" s="83"/>
      <c r="L4" s="83"/>
      <c r="M4" s="83"/>
      <c r="N4" s="83"/>
      <c r="O4" s="83"/>
      <c r="P4" s="83">
        <f>P5</f>
        <v>46055</v>
      </c>
      <c r="Q4" s="83"/>
      <c r="R4" s="83"/>
      <c r="S4" s="83"/>
      <c r="T4" s="83"/>
      <c r="U4" s="83"/>
      <c r="V4" s="83"/>
      <c r="W4" s="83">
        <f>W5</f>
        <v>46062</v>
      </c>
      <c r="X4" s="83"/>
      <c r="Y4" s="83"/>
      <c r="Z4" s="83"/>
      <c r="AA4" s="83"/>
      <c r="AB4" s="83"/>
      <c r="AC4" s="83"/>
      <c r="AD4" s="83">
        <f>AD5</f>
        <v>46069</v>
      </c>
      <c r="AE4" s="83"/>
      <c r="AF4" s="83"/>
      <c r="AG4" s="83"/>
      <c r="AH4" s="83"/>
      <c r="AI4" s="83"/>
      <c r="AJ4" s="83"/>
      <c r="AK4" s="83">
        <f>AK5</f>
        <v>46076</v>
      </c>
      <c r="AL4" s="83"/>
      <c r="AM4" s="83"/>
      <c r="AN4" s="83"/>
      <c r="AO4" s="83"/>
      <c r="AP4" s="83"/>
      <c r="AQ4" s="83"/>
      <c r="AR4" s="83">
        <f>AR5</f>
        <v>46083</v>
      </c>
      <c r="AS4" s="83"/>
      <c r="AT4" s="83"/>
      <c r="AU4" s="83"/>
      <c r="AV4" s="83"/>
      <c r="AW4" s="83"/>
      <c r="AX4" s="83"/>
      <c r="AY4" s="83">
        <f>AY5</f>
        <v>46090</v>
      </c>
      <c r="AZ4" s="83"/>
      <c r="BA4" s="83"/>
      <c r="BB4" s="83"/>
      <c r="BC4" s="83"/>
      <c r="BD4" s="83"/>
      <c r="BE4" s="83"/>
      <c r="BF4" s="83">
        <f>BF5</f>
        <v>46097</v>
      </c>
      <c r="BG4" s="83"/>
      <c r="BH4" s="83"/>
      <c r="BI4" s="83"/>
      <c r="BJ4" s="83"/>
      <c r="BK4" s="83"/>
      <c r="BL4" s="84"/>
    </row>
    <row r="5" spans="1:64" s="19" customFormat="1" ht="15" customHeight="1" x14ac:dyDescent="0.2">
      <c r="A5" s="94"/>
      <c r="B5" s="95" t="s">
        <v>4</v>
      </c>
      <c r="C5" s="97" t="s">
        <v>9</v>
      </c>
      <c r="D5" s="86" t="s">
        <v>1</v>
      </c>
      <c r="E5" s="86" t="s">
        <v>2</v>
      </c>
      <c r="F5" s="86" t="s">
        <v>3</v>
      </c>
      <c r="I5" s="24">
        <f>Project_Start-WEEKDAY(Project_Start,1)+2+7*(Display_Week-1)</f>
        <v>46048</v>
      </c>
      <c r="J5" s="24">
        <f>I5+1</f>
        <v>46049</v>
      </c>
      <c r="K5" s="24">
        <f t="shared" ref="K5:AX5" si="0">J5+1</f>
        <v>46050</v>
      </c>
      <c r="L5" s="24">
        <f t="shared" si="0"/>
        <v>46051</v>
      </c>
      <c r="M5" s="24">
        <f t="shared" si="0"/>
        <v>46052</v>
      </c>
      <c r="N5" s="24">
        <f t="shared" si="0"/>
        <v>46053</v>
      </c>
      <c r="O5" s="25">
        <f t="shared" si="0"/>
        <v>46054</v>
      </c>
      <c r="P5" s="26">
        <f>O5+1</f>
        <v>46055</v>
      </c>
      <c r="Q5" s="24">
        <f>P5+1</f>
        <v>46056</v>
      </c>
      <c r="R5" s="24">
        <f t="shared" si="0"/>
        <v>46057</v>
      </c>
      <c r="S5" s="24">
        <f t="shared" si="0"/>
        <v>46058</v>
      </c>
      <c r="T5" s="24">
        <f t="shared" si="0"/>
        <v>46059</v>
      </c>
      <c r="U5" s="24">
        <f t="shared" si="0"/>
        <v>46060</v>
      </c>
      <c r="V5" s="25">
        <f t="shared" si="0"/>
        <v>46061</v>
      </c>
      <c r="W5" s="26">
        <f>V5+1</f>
        <v>46062</v>
      </c>
      <c r="X5" s="24">
        <f>W5+1</f>
        <v>46063</v>
      </c>
      <c r="Y5" s="24">
        <f t="shared" si="0"/>
        <v>46064</v>
      </c>
      <c r="Z5" s="24">
        <f t="shared" si="0"/>
        <v>46065</v>
      </c>
      <c r="AA5" s="24">
        <f t="shared" si="0"/>
        <v>46066</v>
      </c>
      <c r="AB5" s="24">
        <f t="shared" si="0"/>
        <v>46067</v>
      </c>
      <c r="AC5" s="25">
        <f t="shared" si="0"/>
        <v>46068</v>
      </c>
      <c r="AD5" s="26">
        <f>AC5+1</f>
        <v>46069</v>
      </c>
      <c r="AE5" s="24">
        <f>AD5+1</f>
        <v>46070</v>
      </c>
      <c r="AF5" s="24">
        <f t="shared" si="0"/>
        <v>46071</v>
      </c>
      <c r="AG5" s="24">
        <f t="shared" si="0"/>
        <v>46072</v>
      </c>
      <c r="AH5" s="24">
        <f t="shared" si="0"/>
        <v>46073</v>
      </c>
      <c r="AI5" s="24">
        <f t="shared" si="0"/>
        <v>46074</v>
      </c>
      <c r="AJ5" s="25">
        <f t="shared" si="0"/>
        <v>46075</v>
      </c>
      <c r="AK5" s="26">
        <f>AJ5+1</f>
        <v>46076</v>
      </c>
      <c r="AL5" s="24">
        <f>AK5+1</f>
        <v>46077</v>
      </c>
      <c r="AM5" s="24">
        <f t="shared" si="0"/>
        <v>46078</v>
      </c>
      <c r="AN5" s="24">
        <f t="shared" si="0"/>
        <v>46079</v>
      </c>
      <c r="AO5" s="24">
        <f t="shared" si="0"/>
        <v>46080</v>
      </c>
      <c r="AP5" s="24">
        <f t="shared" si="0"/>
        <v>46081</v>
      </c>
      <c r="AQ5" s="25">
        <f t="shared" si="0"/>
        <v>46082</v>
      </c>
      <c r="AR5" s="26">
        <f>AQ5+1</f>
        <v>46083</v>
      </c>
      <c r="AS5" s="24">
        <f>AR5+1</f>
        <v>46084</v>
      </c>
      <c r="AT5" s="24">
        <f t="shared" si="0"/>
        <v>46085</v>
      </c>
      <c r="AU5" s="24">
        <f t="shared" si="0"/>
        <v>46086</v>
      </c>
      <c r="AV5" s="24">
        <f t="shared" si="0"/>
        <v>46087</v>
      </c>
      <c r="AW5" s="24">
        <f t="shared" si="0"/>
        <v>46088</v>
      </c>
      <c r="AX5" s="25">
        <f t="shared" si="0"/>
        <v>46089</v>
      </c>
      <c r="AY5" s="26">
        <f>AX5+1</f>
        <v>46090</v>
      </c>
      <c r="AZ5" s="24">
        <f>AY5+1</f>
        <v>46091</v>
      </c>
      <c r="BA5" s="24">
        <f t="shared" ref="BA5:BE5" si="1">AZ5+1</f>
        <v>46092</v>
      </c>
      <c r="BB5" s="24">
        <f t="shared" si="1"/>
        <v>46093</v>
      </c>
      <c r="BC5" s="24">
        <f t="shared" si="1"/>
        <v>46094</v>
      </c>
      <c r="BD5" s="24">
        <f t="shared" si="1"/>
        <v>46095</v>
      </c>
      <c r="BE5" s="25">
        <f t="shared" si="1"/>
        <v>46096</v>
      </c>
      <c r="BF5" s="26">
        <f>BE5+1</f>
        <v>46097</v>
      </c>
      <c r="BG5" s="24">
        <f>BF5+1</f>
        <v>46098</v>
      </c>
      <c r="BH5" s="24">
        <f t="shared" ref="BH5:BL5" si="2">BG5+1</f>
        <v>46099</v>
      </c>
      <c r="BI5" s="24">
        <f t="shared" si="2"/>
        <v>46100</v>
      </c>
      <c r="BJ5" s="24">
        <f t="shared" si="2"/>
        <v>46101</v>
      </c>
      <c r="BK5" s="24">
        <f t="shared" si="2"/>
        <v>46102</v>
      </c>
      <c r="BL5" s="24">
        <f t="shared" si="2"/>
        <v>46103</v>
      </c>
    </row>
    <row r="6" spans="1:64" s="19" customFormat="1" ht="15" customHeight="1" thickBot="1" x14ac:dyDescent="0.25">
      <c r="A6" s="94"/>
      <c r="B6" s="96"/>
      <c r="C6" s="87"/>
      <c r="D6" s="87"/>
      <c r="E6" s="87"/>
      <c r="F6" s="87"/>
      <c r="I6" s="27" t="str">
        <f t="shared" ref="I6:AN6" si="3">LEFT(TEXT(I5,"ddd"),1)</f>
        <v>M</v>
      </c>
      <c r="J6" s="28" t="str">
        <f t="shared" si="3"/>
        <v>T</v>
      </c>
      <c r="K6" s="28" t="str">
        <f t="shared" si="3"/>
        <v>W</v>
      </c>
      <c r="L6" s="28" t="str">
        <f t="shared" si="3"/>
        <v>T</v>
      </c>
      <c r="M6" s="28" t="str">
        <f t="shared" si="3"/>
        <v>F</v>
      </c>
      <c r="N6" s="28" t="str">
        <f t="shared" si="3"/>
        <v>S</v>
      </c>
      <c r="O6" s="28" t="str">
        <f t="shared" si="3"/>
        <v>S</v>
      </c>
      <c r="P6" s="28" t="str">
        <f t="shared" si="3"/>
        <v>M</v>
      </c>
      <c r="Q6" s="28" t="str">
        <f t="shared" si="3"/>
        <v>T</v>
      </c>
      <c r="R6" s="28" t="str">
        <f t="shared" si="3"/>
        <v>W</v>
      </c>
      <c r="S6" s="28" t="str">
        <f t="shared" si="3"/>
        <v>T</v>
      </c>
      <c r="T6" s="28" t="str">
        <f t="shared" si="3"/>
        <v>F</v>
      </c>
      <c r="U6" s="28" t="str">
        <f t="shared" si="3"/>
        <v>S</v>
      </c>
      <c r="V6" s="28" t="str">
        <f t="shared" si="3"/>
        <v>S</v>
      </c>
      <c r="W6" s="28" t="str">
        <f t="shared" si="3"/>
        <v>M</v>
      </c>
      <c r="X6" s="28" t="str">
        <f t="shared" si="3"/>
        <v>T</v>
      </c>
      <c r="Y6" s="28" t="str">
        <f t="shared" si="3"/>
        <v>W</v>
      </c>
      <c r="Z6" s="28" t="str">
        <f t="shared" si="3"/>
        <v>T</v>
      </c>
      <c r="AA6" s="28" t="str">
        <f t="shared" si="3"/>
        <v>F</v>
      </c>
      <c r="AB6" s="28" t="str">
        <f t="shared" si="3"/>
        <v>S</v>
      </c>
      <c r="AC6" s="28" t="str">
        <f t="shared" si="3"/>
        <v>S</v>
      </c>
      <c r="AD6" s="28" t="str">
        <f t="shared" si="3"/>
        <v>M</v>
      </c>
      <c r="AE6" s="28" t="str">
        <f t="shared" si="3"/>
        <v>T</v>
      </c>
      <c r="AF6" s="28" t="str">
        <f t="shared" si="3"/>
        <v>W</v>
      </c>
      <c r="AG6" s="28" t="str">
        <f t="shared" si="3"/>
        <v>T</v>
      </c>
      <c r="AH6" s="28" t="str">
        <f t="shared" si="3"/>
        <v>F</v>
      </c>
      <c r="AI6" s="28" t="str">
        <f t="shared" si="3"/>
        <v>S</v>
      </c>
      <c r="AJ6" s="28" t="str">
        <f t="shared" si="3"/>
        <v>S</v>
      </c>
      <c r="AK6" s="28" t="str">
        <f t="shared" si="3"/>
        <v>M</v>
      </c>
      <c r="AL6" s="28" t="str">
        <f t="shared" si="3"/>
        <v>T</v>
      </c>
      <c r="AM6" s="28" t="str">
        <f t="shared" si="3"/>
        <v>W</v>
      </c>
      <c r="AN6" s="28" t="str">
        <f t="shared" si="3"/>
        <v>T</v>
      </c>
      <c r="AO6" s="28" t="str">
        <f t="shared" ref="AO6:BL6" si="4">LEFT(TEXT(AO5,"ddd"),1)</f>
        <v>F</v>
      </c>
      <c r="AP6" s="28" t="str">
        <f t="shared" si="4"/>
        <v>S</v>
      </c>
      <c r="AQ6" s="28" t="str">
        <f t="shared" si="4"/>
        <v>S</v>
      </c>
      <c r="AR6" s="28" t="str">
        <f t="shared" si="4"/>
        <v>M</v>
      </c>
      <c r="AS6" s="28" t="str">
        <f t="shared" si="4"/>
        <v>T</v>
      </c>
      <c r="AT6" s="28" t="str">
        <f t="shared" si="4"/>
        <v>W</v>
      </c>
      <c r="AU6" s="28" t="str">
        <f t="shared" si="4"/>
        <v>T</v>
      </c>
      <c r="AV6" s="28" t="str">
        <f t="shared" si="4"/>
        <v>F</v>
      </c>
      <c r="AW6" s="28" t="str">
        <f t="shared" si="4"/>
        <v>S</v>
      </c>
      <c r="AX6" s="28" t="str">
        <f t="shared" si="4"/>
        <v>S</v>
      </c>
      <c r="AY6" s="28" t="str">
        <f t="shared" si="4"/>
        <v>M</v>
      </c>
      <c r="AZ6" s="28" t="str">
        <f t="shared" si="4"/>
        <v>T</v>
      </c>
      <c r="BA6" s="28" t="str">
        <f t="shared" si="4"/>
        <v>W</v>
      </c>
      <c r="BB6" s="28" t="str">
        <f t="shared" si="4"/>
        <v>T</v>
      </c>
      <c r="BC6" s="28" t="str">
        <f t="shared" si="4"/>
        <v>F</v>
      </c>
      <c r="BD6" s="28" t="str">
        <f t="shared" si="4"/>
        <v>S</v>
      </c>
      <c r="BE6" s="28" t="str">
        <f t="shared" si="4"/>
        <v>S</v>
      </c>
      <c r="BF6" s="28" t="str">
        <f t="shared" si="4"/>
        <v>M</v>
      </c>
      <c r="BG6" s="28" t="str">
        <f t="shared" si="4"/>
        <v>T</v>
      </c>
      <c r="BH6" s="28" t="str">
        <f t="shared" si="4"/>
        <v>W</v>
      </c>
      <c r="BI6" s="28" t="str">
        <f t="shared" si="4"/>
        <v>T</v>
      </c>
      <c r="BJ6" s="28" t="str">
        <f t="shared" si="4"/>
        <v>F</v>
      </c>
      <c r="BK6" s="28" t="str">
        <f t="shared" si="4"/>
        <v>S</v>
      </c>
      <c r="BL6" s="29" t="str">
        <f t="shared" si="4"/>
        <v>S</v>
      </c>
    </row>
    <row r="7" spans="1:64" s="19" customFormat="1" ht="30" hidden="1" customHeight="1" thickBot="1" x14ac:dyDescent="0.25">
      <c r="A7" s="7" t="s">
        <v>5</v>
      </c>
      <c r="B7" s="30"/>
      <c r="C7" s="31"/>
      <c r="D7" s="30"/>
      <c r="E7" s="30"/>
      <c r="F7" s="30"/>
      <c r="H7" s="19" t="str">
        <f>IF(OR(ISBLANK(task_start),ISBLANK(task_end)),"",task_end-task_start+1)</f>
        <v/>
      </c>
      <c r="I7" s="32"/>
      <c r="J7" s="32"/>
      <c r="K7" s="32"/>
      <c r="L7" s="32"/>
      <c r="M7" s="32"/>
      <c r="N7" s="32"/>
      <c r="O7" s="32"/>
      <c r="P7" s="32"/>
      <c r="Q7" s="32"/>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row>
    <row r="8" spans="1:64" s="37" customFormat="1" ht="30" customHeight="1" thickBot="1" x14ac:dyDescent="0.25">
      <c r="A8" s="8"/>
      <c r="B8" s="33" t="s">
        <v>6</v>
      </c>
      <c r="C8" s="34"/>
      <c r="D8" s="35"/>
      <c r="E8" s="72"/>
      <c r="F8" s="73"/>
      <c r="G8" s="11"/>
      <c r="H8" s="5" t="str">
        <f t="shared" ref="H8:H30" si="5">IF(OR(ISBLANK(task_start),ISBLANK(task_end)),"",task_end-task_start+1)</f>
        <v/>
      </c>
      <c r="I8" s="36"/>
      <c r="J8" s="36"/>
      <c r="K8" s="36"/>
      <c r="L8" s="36"/>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row>
    <row r="9" spans="1:64" s="37" customFormat="1" ht="30" customHeight="1" thickBot="1" x14ac:dyDescent="0.25">
      <c r="A9" s="8"/>
      <c r="B9" s="38" t="s">
        <v>15</v>
      </c>
      <c r="C9" s="39" t="s">
        <v>16</v>
      </c>
      <c r="D9" s="40">
        <v>1</v>
      </c>
      <c r="E9" s="74">
        <v>46055</v>
      </c>
      <c r="F9" s="74">
        <v>46055</v>
      </c>
      <c r="G9" s="11"/>
      <c r="H9" s="5">
        <f t="shared" si="5"/>
        <v>1</v>
      </c>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row>
    <row r="10" spans="1:64" s="37" customFormat="1" ht="30" customHeight="1" thickBot="1" x14ac:dyDescent="0.25">
      <c r="A10" s="8"/>
      <c r="B10" s="42" t="s">
        <v>17</v>
      </c>
      <c r="C10" s="43" t="s">
        <v>18</v>
      </c>
      <c r="D10" s="44">
        <v>0.33</v>
      </c>
      <c r="E10" s="75">
        <v>46048</v>
      </c>
      <c r="F10" s="75">
        <v>46061</v>
      </c>
      <c r="G10" s="11"/>
      <c r="H10" s="5">
        <f t="shared" si="5"/>
        <v>14</v>
      </c>
      <c r="I10" s="41"/>
      <c r="J10" s="41"/>
      <c r="K10" s="41"/>
      <c r="L10" s="41"/>
      <c r="M10" s="41"/>
      <c r="N10" s="41"/>
      <c r="O10" s="41"/>
      <c r="P10" s="41"/>
      <c r="Q10" s="41"/>
      <c r="R10" s="41"/>
      <c r="S10" s="41"/>
      <c r="T10" s="41"/>
      <c r="U10" s="45"/>
      <c r="V10" s="45"/>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row>
    <row r="11" spans="1:64" s="37" customFormat="1" ht="30" customHeight="1" thickBot="1" x14ac:dyDescent="0.25">
      <c r="A11" s="7"/>
      <c r="B11" s="42" t="s">
        <v>19</v>
      </c>
      <c r="C11" s="43" t="s">
        <v>20</v>
      </c>
      <c r="D11" s="44">
        <v>1</v>
      </c>
      <c r="E11" s="75">
        <v>46056</v>
      </c>
      <c r="F11" s="75">
        <v>46056</v>
      </c>
      <c r="G11" s="11"/>
      <c r="H11" s="5">
        <f t="shared" si="5"/>
        <v>1</v>
      </c>
      <c r="I11" s="41"/>
      <c r="J11" s="41"/>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row>
    <row r="12" spans="1:64" s="37" customFormat="1" ht="30" customHeight="1" thickBot="1" x14ac:dyDescent="0.25">
      <c r="A12" s="8"/>
      <c r="B12" s="46" t="s">
        <v>13</v>
      </c>
      <c r="C12" s="47"/>
      <c r="D12" s="48"/>
      <c r="E12" s="76"/>
      <c r="F12" s="77"/>
      <c r="G12" s="11"/>
      <c r="H12" s="5" t="str">
        <f t="shared" si="5"/>
        <v/>
      </c>
    </row>
    <row r="13" spans="1:64" s="37" customFormat="1" ht="30" customHeight="1" thickBot="1" x14ac:dyDescent="0.25">
      <c r="A13" s="8"/>
      <c r="B13" s="49" t="s">
        <v>21</v>
      </c>
      <c r="C13" s="50" t="s">
        <v>31</v>
      </c>
      <c r="D13" s="51"/>
      <c r="E13" s="78"/>
      <c r="F13" s="78"/>
      <c r="G13" s="11"/>
      <c r="H13" s="5" t="str">
        <f t="shared" si="5"/>
        <v/>
      </c>
      <c r="I13" s="41"/>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row>
    <row r="14" spans="1:64" s="37" customFormat="1" ht="30" customHeight="1" thickBot="1" x14ac:dyDescent="0.25">
      <c r="A14" s="7"/>
      <c r="B14" s="49" t="s">
        <v>22</v>
      </c>
      <c r="C14" s="50" t="s">
        <v>32</v>
      </c>
      <c r="D14" s="51"/>
      <c r="E14" s="78"/>
      <c r="F14" s="78"/>
      <c r="G14" s="11"/>
      <c r="H14" s="5" t="str">
        <f t="shared" si="5"/>
        <v/>
      </c>
      <c r="I14" s="41"/>
      <c r="J14" s="41"/>
      <c r="K14" s="41"/>
      <c r="L14" s="41"/>
      <c r="M14" s="41"/>
      <c r="N14" s="41"/>
      <c r="O14" s="41"/>
      <c r="P14" s="41"/>
      <c r="Q14" s="41"/>
      <c r="R14" s="41"/>
      <c r="S14" s="41"/>
      <c r="T14" s="41"/>
      <c r="U14" s="45"/>
      <c r="V14" s="45"/>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row>
    <row r="15" spans="1:64" s="37" customFormat="1" ht="30" customHeight="1" thickBot="1" x14ac:dyDescent="0.25">
      <c r="A15" s="7"/>
      <c r="B15" s="49" t="s">
        <v>23</v>
      </c>
      <c r="C15" s="50" t="s">
        <v>33</v>
      </c>
      <c r="D15" s="51">
        <v>0.59</v>
      </c>
      <c r="E15" s="78">
        <v>46058</v>
      </c>
      <c r="F15" s="78">
        <v>46065</v>
      </c>
      <c r="G15" s="11"/>
      <c r="H15" s="5">
        <f t="shared" si="5"/>
        <v>8</v>
      </c>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row>
    <row r="16" spans="1:64" s="37" customFormat="1" ht="30" customHeight="1" thickBot="1" x14ac:dyDescent="0.25">
      <c r="A16" s="7"/>
      <c r="B16" s="82" t="s">
        <v>25</v>
      </c>
      <c r="C16" s="50" t="s">
        <v>16</v>
      </c>
      <c r="D16" s="51"/>
      <c r="E16" s="78"/>
      <c r="F16" s="78"/>
      <c r="G16" s="11"/>
      <c r="H16" s="5" t="str">
        <f t="shared" si="5"/>
        <v/>
      </c>
      <c r="I16" s="41"/>
      <c r="J16" s="41"/>
      <c r="K16" s="41"/>
      <c r="L16" s="41"/>
      <c r="M16" s="41"/>
      <c r="N16" s="41"/>
      <c r="O16" s="41"/>
      <c r="P16" s="41"/>
      <c r="Q16" s="41"/>
      <c r="R16" s="41"/>
      <c r="S16" s="41"/>
      <c r="T16" s="41"/>
      <c r="U16" s="41"/>
      <c r="V16" s="41"/>
      <c r="W16" s="41"/>
      <c r="X16" s="41"/>
      <c r="Y16" s="45"/>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1"/>
      <c r="BF16" s="41"/>
      <c r="BG16" s="41"/>
      <c r="BH16" s="41"/>
      <c r="BI16" s="41"/>
      <c r="BJ16" s="41"/>
      <c r="BK16" s="41"/>
      <c r="BL16" s="41"/>
    </row>
    <row r="17" spans="1:64" s="37" customFormat="1" ht="30" customHeight="1" thickBot="1" x14ac:dyDescent="0.25">
      <c r="A17" s="7"/>
      <c r="B17" s="82" t="s">
        <v>24</v>
      </c>
      <c r="C17" s="50" t="s">
        <v>34</v>
      </c>
      <c r="D17" s="51"/>
      <c r="E17" s="78"/>
      <c r="F17" s="78"/>
      <c r="G17" s="11"/>
      <c r="H17" s="5" t="str">
        <f t="shared" si="5"/>
        <v/>
      </c>
      <c r="I17" s="41"/>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row>
    <row r="18" spans="1:64" s="37" customFormat="1" ht="30" customHeight="1" thickBot="1" x14ac:dyDescent="0.25">
      <c r="A18" s="7"/>
      <c r="B18" s="82" t="s">
        <v>26</v>
      </c>
      <c r="C18" s="82"/>
      <c r="D18" s="82"/>
      <c r="E18" s="82"/>
      <c r="F18" s="82"/>
      <c r="G18" s="11"/>
      <c r="H18" s="5"/>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row>
    <row r="19" spans="1:64" s="37" customFormat="1" ht="30" customHeight="1" thickBot="1" x14ac:dyDescent="0.25">
      <c r="A19" s="7"/>
      <c r="B19" s="82" t="s">
        <v>27</v>
      </c>
      <c r="C19" s="82"/>
      <c r="D19" s="82"/>
      <c r="E19" s="82"/>
      <c r="F19" s="82"/>
      <c r="G19" s="11"/>
      <c r="H19" s="5"/>
      <c r="I19" s="55"/>
      <c r="J19" s="55"/>
      <c r="K19" s="55"/>
      <c r="L19" s="55"/>
      <c r="M19" s="55"/>
      <c r="N19" s="55"/>
      <c r="O19" s="55"/>
      <c r="P19" s="55"/>
      <c r="Q19" s="55"/>
      <c r="R19" s="55"/>
      <c r="S19" s="55"/>
      <c r="T19" s="55"/>
      <c r="U19" s="55"/>
      <c r="V19" s="55"/>
      <c r="W19" s="55"/>
      <c r="X19" s="55"/>
      <c r="Y19" s="55"/>
      <c r="Z19" s="55"/>
      <c r="AA19" s="55"/>
      <c r="AB19" s="55"/>
      <c r="AC19" s="55"/>
      <c r="AD19" s="55"/>
      <c r="AE19" s="55"/>
      <c r="AF19" s="55"/>
      <c r="AG19" s="55"/>
      <c r="AH19" s="55"/>
      <c r="AI19" s="55"/>
      <c r="AJ19" s="55"/>
      <c r="AK19" s="55"/>
      <c r="AL19" s="55"/>
      <c r="AM19" s="55"/>
      <c r="AN19" s="55"/>
      <c r="AO19" s="55"/>
      <c r="AP19" s="55"/>
      <c r="AQ19" s="55"/>
      <c r="AR19" s="55"/>
      <c r="AS19" s="55"/>
      <c r="AT19" s="55"/>
      <c r="AU19" s="55"/>
      <c r="AV19" s="55"/>
      <c r="AW19" s="55"/>
      <c r="AX19" s="55"/>
      <c r="AY19" s="55"/>
      <c r="AZ19" s="55"/>
      <c r="BA19" s="55"/>
      <c r="BB19" s="55"/>
      <c r="BC19" s="55"/>
      <c r="BD19" s="55"/>
      <c r="BE19" s="55"/>
      <c r="BF19" s="55"/>
      <c r="BG19" s="55"/>
      <c r="BH19" s="55"/>
      <c r="BI19" s="55"/>
      <c r="BJ19" s="55"/>
      <c r="BK19" s="55"/>
      <c r="BL19" s="55"/>
    </row>
    <row r="20" spans="1:64" s="37" customFormat="1" ht="30" customHeight="1" thickBot="1" x14ac:dyDescent="0.25">
      <c r="A20" s="7"/>
      <c r="B20" s="82" t="s">
        <v>28</v>
      </c>
      <c r="C20" s="82"/>
      <c r="D20" s="82"/>
      <c r="E20" s="82"/>
      <c r="F20" s="82"/>
      <c r="G20" s="11"/>
      <c r="H20" s="5"/>
      <c r="I20" s="55"/>
      <c r="J20" s="55"/>
      <c r="K20" s="55"/>
      <c r="L20" s="55"/>
      <c r="M20" s="55"/>
      <c r="N20" s="55"/>
      <c r="O20" s="55"/>
      <c r="P20" s="55"/>
      <c r="Q20" s="55"/>
      <c r="R20" s="55"/>
      <c r="S20" s="55"/>
      <c r="T20" s="55"/>
      <c r="U20" s="55"/>
      <c r="V20" s="55"/>
      <c r="W20" s="55"/>
      <c r="X20" s="55"/>
      <c r="Y20" s="55"/>
      <c r="Z20" s="55"/>
      <c r="AA20" s="55"/>
      <c r="AB20" s="55"/>
      <c r="AC20" s="55"/>
      <c r="AD20" s="55"/>
      <c r="AE20" s="55"/>
      <c r="AF20" s="55"/>
      <c r="AG20" s="55"/>
      <c r="AH20" s="55"/>
      <c r="AI20" s="55"/>
      <c r="AJ20" s="55"/>
      <c r="AK20" s="55"/>
      <c r="AL20" s="55"/>
      <c r="AM20" s="55"/>
      <c r="AN20" s="55"/>
      <c r="AO20" s="55"/>
      <c r="AP20" s="55"/>
      <c r="AQ20" s="55"/>
      <c r="AR20" s="55"/>
      <c r="AS20" s="55"/>
      <c r="AT20" s="55"/>
      <c r="AU20" s="55"/>
      <c r="AV20" s="55"/>
      <c r="AW20" s="55"/>
      <c r="AX20" s="55"/>
      <c r="AY20" s="55"/>
      <c r="AZ20" s="55"/>
      <c r="BA20" s="55"/>
      <c r="BB20" s="55"/>
      <c r="BC20" s="55"/>
      <c r="BD20" s="55"/>
      <c r="BE20" s="55"/>
      <c r="BF20" s="55"/>
      <c r="BG20" s="55"/>
      <c r="BH20" s="55"/>
      <c r="BI20" s="55"/>
      <c r="BJ20" s="55"/>
      <c r="BK20" s="55"/>
      <c r="BL20" s="55"/>
    </row>
    <row r="21" spans="1:64" s="37" customFormat="1" ht="30" customHeight="1" thickBot="1" x14ac:dyDescent="0.25">
      <c r="A21" s="7"/>
      <c r="B21" s="82" t="s">
        <v>29</v>
      </c>
      <c r="C21" s="82" t="s">
        <v>35</v>
      </c>
      <c r="D21" s="82"/>
      <c r="E21" s="82"/>
      <c r="F21" s="82"/>
      <c r="G21" s="11"/>
      <c r="H21" s="5"/>
      <c r="I21" s="55"/>
      <c r="J21" s="55"/>
      <c r="K21" s="55"/>
      <c r="L21" s="55"/>
      <c r="M21" s="55"/>
      <c r="N21" s="55"/>
      <c r="O21" s="55"/>
      <c r="P21" s="55"/>
      <c r="Q21" s="55"/>
      <c r="R21" s="55"/>
      <c r="S21" s="55"/>
      <c r="T21" s="55"/>
      <c r="U21" s="55"/>
      <c r="V21" s="55"/>
      <c r="W21" s="55"/>
      <c r="X21" s="55"/>
      <c r="Y21" s="55"/>
      <c r="Z21" s="55"/>
      <c r="AA21" s="55"/>
      <c r="AB21" s="55"/>
      <c r="AC21" s="55"/>
      <c r="AD21" s="55"/>
      <c r="AE21" s="55"/>
      <c r="AF21" s="55"/>
      <c r="AG21" s="55"/>
      <c r="AH21" s="55"/>
      <c r="AI21" s="55"/>
      <c r="AJ21" s="55"/>
      <c r="AK21" s="55"/>
      <c r="AL21" s="55"/>
      <c r="AM21" s="55"/>
      <c r="AN21" s="55"/>
      <c r="AO21" s="55"/>
      <c r="AP21" s="55"/>
      <c r="AQ21" s="55"/>
      <c r="AR21" s="55"/>
      <c r="AS21" s="55"/>
      <c r="AT21" s="55"/>
      <c r="AU21" s="55"/>
      <c r="AV21" s="55"/>
      <c r="AW21" s="55"/>
      <c r="AX21" s="55"/>
      <c r="AY21" s="55"/>
      <c r="AZ21" s="55"/>
      <c r="BA21" s="55"/>
      <c r="BB21" s="55"/>
      <c r="BC21" s="55"/>
      <c r="BD21" s="55"/>
      <c r="BE21" s="55"/>
      <c r="BF21" s="55"/>
      <c r="BG21" s="55"/>
      <c r="BH21" s="55"/>
      <c r="BI21" s="55"/>
      <c r="BJ21" s="55"/>
      <c r="BK21" s="55"/>
      <c r="BL21" s="55"/>
    </row>
    <row r="22" spans="1:64" s="37" customFormat="1" ht="30" customHeight="1" thickBot="1" x14ac:dyDescent="0.25">
      <c r="A22" s="7"/>
      <c r="B22" s="82" t="s">
        <v>30</v>
      </c>
      <c r="C22" s="82"/>
      <c r="D22" s="82"/>
      <c r="E22" s="82"/>
      <c r="F22" s="82"/>
      <c r="G22" s="11"/>
      <c r="H22" s="5"/>
      <c r="I22" s="55"/>
      <c r="J22" s="55"/>
      <c r="K22" s="55"/>
      <c r="L22" s="55"/>
      <c r="M22" s="55"/>
      <c r="N22" s="55"/>
      <c r="O22" s="55"/>
      <c r="P22" s="55"/>
      <c r="Q22" s="55"/>
      <c r="R22" s="55"/>
      <c r="S22" s="55"/>
      <c r="T22" s="55"/>
      <c r="U22" s="55"/>
      <c r="V22" s="55"/>
      <c r="W22" s="55"/>
      <c r="X22" s="55"/>
      <c r="Y22" s="55"/>
      <c r="Z22" s="55"/>
      <c r="AA22" s="55"/>
      <c r="AB22" s="55"/>
      <c r="AC22" s="55"/>
      <c r="AD22" s="55"/>
      <c r="AE22" s="55"/>
      <c r="AF22" s="55"/>
      <c r="AG22" s="55"/>
      <c r="AH22" s="55"/>
      <c r="AI22" s="55"/>
      <c r="AJ22" s="55"/>
      <c r="AK22" s="55"/>
      <c r="AL22" s="55"/>
      <c r="AM22" s="55"/>
      <c r="AN22" s="55"/>
      <c r="AO22" s="55"/>
      <c r="AP22" s="55"/>
      <c r="AQ22" s="55"/>
      <c r="AR22" s="55"/>
      <c r="AS22" s="55"/>
      <c r="AT22" s="55"/>
      <c r="AU22" s="55"/>
      <c r="AV22" s="55"/>
      <c r="AW22" s="55"/>
      <c r="AX22" s="55"/>
      <c r="AY22" s="55"/>
      <c r="AZ22" s="55"/>
      <c r="BA22" s="55"/>
      <c r="BB22" s="55"/>
      <c r="BC22" s="55"/>
      <c r="BD22" s="55"/>
      <c r="BE22" s="55"/>
      <c r="BF22" s="55"/>
      <c r="BG22" s="55"/>
      <c r="BH22" s="55"/>
      <c r="BI22" s="55"/>
      <c r="BJ22" s="55"/>
      <c r="BK22" s="55"/>
      <c r="BL22" s="55"/>
    </row>
    <row r="23" spans="1:64" s="37" customFormat="1" ht="30" customHeight="1" thickBot="1" x14ac:dyDescent="0.25">
      <c r="A23" s="7"/>
      <c r="B23" s="52" t="s">
        <v>14</v>
      </c>
      <c r="C23" s="53"/>
      <c r="D23" s="54"/>
      <c r="E23" s="79"/>
      <c r="F23" s="80"/>
      <c r="G23" s="11"/>
      <c r="H23" s="5" t="str">
        <f t="shared" si="5"/>
        <v/>
      </c>
      <c r="I23" s="55"/>
      <c r="J23" s="55"/>
      <c r="K23" s="55"/>
      <c r="L23" s="55"/>
      <c r="M23" s="55"/>
      <c r="N23" s="55"/>
      <c r="O23" s="55"/>
      <c r="P23" s="55"/>
      <c r="Q23" s="55"/>
      <c r="R23" s="55"/>
      <c r="S23" s="55"/>
      <c r="T23" s="55"/>
      <c r="U23" s="55"/>
      <c r="V23" s="55"/>
      <c r="W23" s="55"/>
      <c r="X23" s="55"/>
      <c r="Y23" s="55"/>
      <c r="Z23" s="55"/>
      <c r="AA23" s="55"/>
      <c r="AB23" s="55"/>
      <c r="AC23" s="55"/>
      <c r="AD23" s="55"/>
      <c r="AE23" s="55"/>
      <c r="AF23" s="55"/>
      <c r="AG23" s="55"/>
      <c r="AH23" s="55"/>
      <c r="AI23" s="55"/>
      <c r="AJ23" s="55"/>
      <c r="AK23" s="55"/>
      <c r="AL23" s="55"/>
      <c r="AM23" s="55"/>
      <c r="AN23" s="55"/>
      <c r="AO23" s="55"/>
      <c r="AP23" s="55"/>
      <c r="AQ23" s="55"/>
      <c r="AR23" s="55"/>
      <c r="AS23" s="55"/>
      <c r="AT23" s="55"/>
      <c r="AU23" s="55"/>
      <c r="AV23" s="55"/>
      <c r="AW23" s="55"/>
      <c r="AX23" s="55"/>
      <c r="AY23" s="55"/>
      <c r="AZ23" s="55"/>
      <c r="BA23" s="55"/>
      <c r="BB23" s="55"/>
      <c r="BC23" s="55"/>
      <c r="BD23" s="55"/>
      <c r="BE23" s="55"/>
      <c r="BF23" s="55"/>
      <c r="BG23" s="55"/>
      <c r="BH23" s="55"/>
      <c r="BI23" s="55"/>
      <c r="BJ23" s="55"/>
      <c r="BK23" s="55"/>
      <c r="BL23" s="55"/>
    </row>
    <row r="24" spans="1:64" s="37" customFormat="1" ht="30" customHeight="1" thickBot="1" x14ac:dyDescent="0.25">
      <c r="A24" s="7"/>
      <c r="B24" s="56"/>
      <c r="C24" s="57"/>
      <c r="D24" s="58"/>
      <c r="E24" s="81"/>
      <c r="F24" s="81"/>
      <c r="G24" s="11"/>
      <c r="H24" s="5" t="str">
        <f t="shared" si="5"/>
        <v/>
      </c>
      <c r="I24" s="41"/>
      <c r="J24" s="41"/>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c r="AZ24" s="41"/>
      <c r="BA24" s="41"/>
      <c r="BB24" s="41"/>
      <c r="BC24" s="41"/>
      <c r="BD24" s="41"/>
      <c r="BE24" s="41"/>
      <c r="BF24" s="41"/>
      <c r="BG24" s="41"/>
      <c r="BH24" s="41"/>
      <c r="BI24" s="41"/>
      <c r="BJ24" s="41"/>
      <c r="BK24" s="41"/>
      <c r="BL24" s="41"/>
    </row>
    <row r="25" spans="1:64" s="37" customFormat="1" ht="30" customHeight="1" thickBot="1" x14ac:dyDescent="0.25">
      <c r="A25" s="7"/>
      <c r="B25" s="56"/>
      <c r="C25" s="57"/>
      <c r="D25" s="58"/>
      <c r="E25" s="81"/>
      <c r="F25" s="81"/>
      <c r="G25" s="11"/>
      <c r="H25" s="5" t="str">
        <f t="shared" si="5"/>
        <v/>
      </c>
      <c r="I25" s="41"/>
      <c r="J25" s="41"/>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c r="BB25" s="41"/>
      <c r="BC25" s="41"/>
      <c r="BD25" s="41"/>
      <c r="BE25" s="41"/>
      <c r="BF25" s="41"/>
      <c r="BG25" s="41"/>
      <c r="BH25" s="41"/>
      <c r="BI25" s="41"/>
      <c r="BJ25" s="41"/>
      <c r="BK25" s="41"/>
      <c r="BL25" s="41"/>
    </row>
    <row r="26" spans="1:64" s="37" customFormat="1" ht="30" customHeight="1" thickBot="1" x14ac:dyDescent="0.25">
      <c r="A26" s="7"/>
      <c r="B26" s="56"/>
      <c r="C26" s="57"/>
      <c r="D26" s="58"/>
      <c r="E26" s="81"/>
      <c r="F26" s="81"/>
      <c r="G26" s="11"/>
      <c r="H26" s="5" t="str">
        <f t="shared" si="5"/>
        <v/>
      </c>
      <c r="I26" s="41"/>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c r="BB26" s="41"/>
      <c r="BC26" s="41"/>
      <c r="BD26" s="41"/>
      <c r="BE26" s="41"/>
      <c r="BF26" s="41"/>
      <c r="BG26" s="41"/>
      <c r="BH26" s="41"/>
      <c r="BI26" s="41"/>
      <c r="BJ26" s="41"/>
      <c r="BK26" s="41"/>
      <c r="BL26" s="41"/>
    </row>
    <row r="27" spans="1:64" s="37" customFormat="1" ht="30" customHeight="1" thickBot="1" x14ac:dyDescent="0.25">
      <c r="A27" s="7"/>
      <c r="B27" s="56"/>
      <c r="C27" s="57"/>
      <c r="D27" s="58"/>
      <c r="E27" s="81"/>
      <c r="F27" s="81"/>
      <c r="G27" s="11"/>
      <c r="H27" s="5" t="str">
        <f t="shared" si="5"/>
        <v/>
      </c>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c r="AW27" s="41"/>
      <c r="AX27" s="41"/>
      <c r="AY27" s="41"/>
      <c r="AZ27" s="41"/>
      <c r="BA27" s="41"/>
      <c r="BB27" s="41"/>
      <c r="BC27" s="41"/>
      <c r="BD27" s="41"/>
      <c r="BE27" s="41"/>
      <c r="BF27" s="41"/>
      <c r="BG27" s="41"/>
      <c r="BH27" s="41"/>
      <c r="BI27" s="41"/>
      <c r="BJ27" s="41"/>
      <c r="BK27" s="41"/>
      <c r="BL27" s="41"/>
    </row>
    <row r="28" spans="1:64" s="37" customFormat="1" ht="30" customHeight="1" thickBot="1" x14ac:dyDescent="0.25">
      <c r="A28" s="7"/>
      <c r="B28" s="56"/>
      <c r="C28" s="57"/>
      <c r="D28" s="58"/>
      <c r="E28" s="81"/>
      <c r="F28" s="81"/>
      <c r="G28" s="11"/>
      <c r="H28" s="5" t="str">
        <f t="shared" si="5"/>
        <v/>
      </c>
      <c r="I28" s="41"/>
      <c r="J28" s="41"/>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c r="AW28" s="41"/>
      <c r="AX28" s="41"/>
      <c r="AY28" s="41"/>
      <c r="AZ28" s="41"/>
      <c r="BA28" s="41"/>
      <c r="BB28" s="41"/>
      <c r="BC28" s="41"/>
      <c r="BD28" s="41"/>
      <c r="BE28" s="41"/>
      <c r="BF28" s="41"/>
      <c r="BG28" s="41"/>
      <c r="BH28" s="41"/>
      <c r="BI28" s="41"/>
      <c r="BJ28" s="41"/>
      <c r="BK28" s="41"/>
      <c r="BL28" s="41"/>
    </row>
    <row r="29" spans="1:64" s="37" customFormat="1" ht="30" customHeight="1" thickBot="1" x14ac:dyDescent="0.25">
      <c r="A29" s="7"/>
      <c r="B29" s="59"/>
      <c r="C29" s="60"/>
      <c r="D29" s="61"/>
      <c r="E29" s="62"/>
      <c r="F29" s="62"/>
      <c r="G29" s="11"/>
      <c r="H29" s="5" t="str">
        <f t="shared" si="5"/>
        <v/>
      </c>
      <c r="I29" s="36"/>
      <c r="J29" s="36"/>
      <c r="K29" s="36"/>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row>
    <row r="30" spans="1:64" s="37" customFormat="1" ht="30" customHeight="1" thickBot="1" x14ac:dyDescent="0.25">
      <c r="A30" s="8"/>
      <c r="B30" s="63" t="s">
        <v>0</v>
      </c>
      <c r="C30" s="64"/>
      <c r="D30" s="65"/>
      <c r="E30" s="66"/>
      <c r="F30" s="67"/>
      <c r="G30" s="11"/>
      <c r="H30" s="6" t="str">
        <f t="shared" si="5"/>
        <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8"/>
      <c r="AO30" s="68"/>
      <c r="AP30" s="68"/>
      <c r="AQ30" s="68"/>
      <c r="AR30" s="68"/>
      <c r="AS30" s="68"/>
      <c r="AT30" s="68"/>
      <c r="AU30" s="68"/>
      <c r="AV30" s="68"/>
      <c r="AW30" s="68"/>
      <c r="AX30" s="68"/>
      <c r="AY30" s="68"/>
      <c r="AZ30" s="68"/>
      <c r="BA30" s="68"/>
      <c r="BB30" s="68"/>
      <c r="BC30" s="68"/>
      <c r="BD30" s="68"/>
      <c r="BE30" s="68"/>
      <c r="BF30" s="68"/>
      <c r="BG30" s="68"/>
      <c r="BH30" s="68"/>
      <c r="BI30" s="68"/>
      <c r="BJ30" s="68"/>
      <c r="BK30" s="68"/>
      <c r="BL30" s="68"/>
    </row>
    <row r="31" spans="1:64" ht="30" customHeight="1" x14ac:dyDescent="0.2">
      <c r="G31" s="3"/>
    </row>
    <row r="32" spans="1:64" ht="30" customHeight="1" x14ac:dyDescent="0.25">
      <c r="C32" s="10"/>
      <c r="F32" s="9"/>
    </row>
    <row r="33" spans="3:3" ht="30" customHeight="1" x14ac:dyDescent="0.2">
      <c r="C33" s="4"/>
    </row>
  </sheetData>
  <mergeCells count="18">
    <mergeCell ref="A5:A6"/>
    <mergeCell ref="B5:B6"/>
    <mergeCell ref="C5:C6"/>
    <mergeCell ref="D5:D6"/>
    <mergeCell ref="E5:E6"/>
    <mergeCell ref="F5:F6"/>
    <mergeCell ref="Q2:Z2"/>
    <mergeCell ref="Q1:Z1"/>
    <mergeCell ref="I1:O1"/>
    <mergeCell ref="I2:O2"/>
    <mergeCell ref="BF4:BL4"/>
    <mergeCell ref="I4:O4"/>
    <mergeCell ref="P4:V4"/>
    <mergeCell ref="W4:AC4"/>
    <mergeCell ref="AD4:AJ4"/>
    <mergeCell ref="AK4:AQ4"/>
    <mergeCell ref="AR4:AX4"/>
    <mergeCell ref="AY4:BE4"/>
  </mergeCells>
  <conditionalFormatting sqref="D7:D17 D23:D30">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28">
    <cfRule type="expression" dxfId="6" priority="1">
      <formula>AND(TODAY()&gt;=I$5, TODAY()&lt;J$5)</formula>
    </cfRule>
  </conditionalFormatting>
  <conditionalFormatting sqref="I9:BL11">
    <cfRule type="expression" dxfId="5" priority="6">
      <formula>AND(task_start&lt;=I$5,ROUNDDOWN((task_end-task_start+1)*task_progress,0)+task_start-1&gt;=I$5)</formula>
    </cfRule>
    <cfRule type="expression" dxfId="4" priority="7" stopIfTrue="1">
      <formula>AND(task_end&gt;=I$5,task_start&lt;J$5)</formula>
    </cfRule>
  </conditionalFormatting>
  <conditionalFormatting sqref="I13:BL22">
    <cfRule type="expression" dxfId="3" priority="4">
      <formula>AND(task_start&lt;=I$5,ROUNDDOWN((task_end-task_start+1)*task_progress,0)+task_start-1&gt;=I$5)</formula>
    </cfRule>
    <cfRule type="expression" dxfId="2" priority="5" stopIfTrue="1">
      <formula>AND(task_end&gt;=I$5,task_start&lt;J$5)</formula>
    </cfRule>
  </conditionalFormatting>
  <conditionalFormatting sqref="I24:BL28">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12">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2" xr:uid="{4F48FC41-E335-47F1-87AA-3333A52AD81C}"/>
    <dataValidation allowBlank="1" showInputMessage="1" showErrorMessage="1" prompt="Phase 3's sample block starts in cell B20." sqref="A23" xr:uid="{956902D1-D3B5-416D-BB69-9362D193BC0A}"/>
    <dataValidation allowBlank="1" showInputMessage="1" showErrorMessage="1" prompt="This row marks the end of the Project Schedule. DO NOT enter anything in this row. _x000a_Insert new rows ABOVE this one to continue building out your Project Schedule." sqref="A30"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D7:D17 D23:D30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Project schedule</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UG-Shad, Dawud</dc:creator>
  <dc:description/>
  <cp:lastModifiedBy>UG-Shad, Dawud</cp:lastModifiedBy>
  <dcterms:created xsi:type="dcterms:W3CDTF">2022-03-11T22:41:12Z</dcterms:created>
  <dcterms:modified xsi:type="dcterms:W3CDTF">2026-02-12T01:25:11Z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