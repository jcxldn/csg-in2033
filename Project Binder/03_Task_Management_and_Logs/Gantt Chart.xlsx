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ject schedule" sheetId="1" state="visible" r:id="rId3"/>
  </sheets>
  <definedNames>
    <definedName function="false" hidden="false" localSheetId="0" name="_xlnm.Print_Titles" vbProcedure="false">'Project schedule'!$4:$6</definedName>
    <definedName function="false" hidden="false" name="Display_Week" vbProcedure="false">'Project schedule'!$Q$2</definedName>
    <definedName function="false" hidden="false" name="Project_Start" vbProcedure="false">'Project schedule'!$Q$1</definedName>
    <definedName function="false" hidden="false" localSheetId="0" name="task_end" vbProcedure="false">'Project schedule'!$F1</definedName>
    <definedName function="false" hidden="false" localSheetId="0" name="task_progress" vbProcedure="false">'Project schedule'!$D1</definedName>
    <definedName function="false" hidden="false" localSheetId="0" name="task_start" vbProcedure="false">'Project schedule'!$E1</definedName>
    <definedName function="false" hidden="false" localSheetId="0" name="today" vbProcedure="false">TODAY()</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<sst xmlns="http://schemas.openxmlformats.org/spreadsheetml/2006/main" count="174" uniqueCount="120">
  <si>
    <t xml:space="preserve">IN2033 Project</t>
  </si>
  <si>
    <t xml:space="preserve">Project start:</t>
  </si>
  <si>
    <t xml:space="preserve">MediFlow Solutions</t>
  </si>
  <si>
    <t xml:space="preserve">Project lead: Dawud</t>
  </si>
  <si>
    <t xml:space="preserve">Display week:</t>
  </si>
  <si>
    <t xml:space="preserve">TASK</t>
  </si>
  <si>
    <t xml:space="preserve">ASSIGNED TO</t>
  </si>
  <si>
    <t xml:space="preserve">PROGRESS</t>
  </si>
  <si>
    <t xml:space="preserve">START</t>
  </si>
  <si>
    <t xml:space="preserve">END</t>
  </si>
  <si>
    <t xml:space="preserve">Do not delete this row. This row is hidden to preserve a formula that is used to highlight the current day within the project schedule. </t>
  </si>
  <si>
    <t xml:space="preserve">Initiation</t>
  </si>
  <si>
    <t xml:space="preserve">Team Name and Logo</t>
  </si>
  <si>
    <t xml:space="preserve">Dawud</t>
  </si>
  <si>
    <t xml:space="preserve">Set-up Project Binder</t>
  </si>
  <si>
    <t xml:space="preserve">Team</t>
  </si>
  <si>
    <t xml:space="preserve">Customer Interview</t>
  </si>
  <si>
    <t xml:space="preserve">Furqan, Bahja</t>
  </si>
  <si>
    <t xml:space="preserve">Deliverable 1</t>
  </si>
  <si>
    <t xml:space="preserve">Week 1</t>
  </si>
  <si>
    <t xml:space="preserve">Week 6</t>
  </si>
  <si>
    <t xml:space="preserve">Use-case Diagram</t>
  </si>
  <si>
    <t xml:space="preserve">Furqan, Haris, James, Bahja</t>
  </si>
  <si>
    <t xml:space="preserve">Volere Templates</t>
  </si>
  <si>
    <t xml:space="preserve">Bahja, Haris, Huzefa</t>
  </si>
  <si>
    <t xml:space="preserve">Use-case Specification</t>
  </si>
  <si>
    <t xml:space="preserve">Dawud, Bahja, Haris</t>
  </si>
  <si>
    <t xml:space="preserve">Prioritised List of 
Use Cases</t>
  </si>
  <si>
    <t xml:space="preserve">Dawud, Furqan, Bahja</t>
  </si>
  <si>
    <t xml:space="preserve">Anticipated Evolution of 
system requirements</t>
  </si>
  <si>
    <t xml:space="preserve">Faisal, Huzefa</t>
  </si>
  <si>
    <t xml:space="preserve">High-level Design (component diagram)</t>
  </si>
  <si>
    <t xml:space="preserve">Furqan, James</t>
  </si>
  <si>
    <t xml:space="preserve">Class diagram of our subsystem</t>
  </si>
  <si>
    <t xml:space="preserve">Huzefa, Faisal</t>
  </si>
  <si>
    <t xml:space="preserve">Generated source code with comments</t>
  </si>
  <si>
    <t xml:space="preserve">Haris, Bahja</t>
  </si>
  <si>
    <t xml:space="preserve">29/2/26</t>
  </si>
  <si>
    <t xml:space="preserve">Test cases</t>
  </si>
  <si>
    <t xml:space="preserve">James</t>
  </si>
  <si>
    <t xml:space="preserve">Expected Hardware</t>
  </si>
  <si>
    <t xml:space="preserve">Furqan</t>
  </si>
  <si>
    <t xml:space="preserve">Peer Review</t>
  </si>
  <si>
    <t xml:space="preserve">Deliverable 2</t>
  </si>
  <si>
    <t xml:space="preserve">Week 7</t>
  </si>
  <si>
    <t xml:space="preserve">Week 13</t>
  </si>
  <si>
    <t xml:space="preserve">Research</t>
  </si>
  <si>
    <t xml:space="preserve">#NAME?</t>
  </si>
  <si>
    <t xml:space="preserve">GUI Implementation</t>
  </si>
  <si>
    <t xml:space="preserve">Dawud, James, Haris, Furqan, Faisal</t>
  </si>
  <si>
    <t xml:space="preserve">Test Implementation</t>
  </si>
  <si>
    <t xml:space="preserve">Furqan, Bahja, Huzefa, Dawud, Haris</t>
  </si>
  <si>
    <t xml:space="preserve">IPOS-PU-COMMS</t>
  </si>
  <si>
    <t xml:space="preserve">Accept SMTP requests</t>
  </si>
  <si>
    <t xml:space="preserve">Accept payment requests</t>
  </si>
  <si>
    <t xml:space="preserve">Make SMTP requests</t>
  </si>
  <si>
    <t xml:space="preserve">Furqan, Faisal</t>
  </si>
  <si>
    <t xml:space="preserve">Make Stripe requests</t>
  </si>
  <si>
    <t xml:space="preserve">IPOS-PU-GUI</t>
  </si>
  <si>
    <t xml:space="preserve">Commercial form</t>
  </si>
  <si>
    <t xml:space="preserve">Non-commercial form</t>
  </si>
  <si>
    <t xml:space="preserve">Login screen</t>
  </si>
  <si>
    <t xml:space="preserve">Navbar</t>
  </si>
  <si>
    <t xml:space="preserve">Merchant profile</t>
  </si>
  <si>
    <t xml:space="preserve">Product list</t>
  </si>
  <si>
    <t xml:space="preserve">Basket screen</t>
  </si>
  <si>
    <t xml:space="preserve">Payment confirm screen</t>
  </si>
  <si>
    <t xml:space="preserve">Admin dashboard</t>
  </si>
  <si>
    <t xml:space="preserve">Report menu</t>
  </si>
  <si>
    <t xml:space="preserve">Registration screen</t>
  </si>
  <si>
    <t xml:space="preserve">Promotion feed</t>
  </si>
  <si>
    <t xml:space="preserve">IPOS-PU-MEMBERS</t>
  </si>
  <si>
    <t xml:space="preserve">Bahja</t>
  </si>
  <si>
    <t xml:space="preserve">Process commercial applications</t>
  </si>
  <si>
    <t xml:space="preserve">Process non-commercial applications</t>
  </si>
  <si>
    <t xml:space="preserve">User details database</t>
  </si>
  <si>
    <t xml:space="preserve">Customer authentication</t>
  </si>
  <si>
    <t xml:space="preserve">Change password</t>
  </si>
  <si>
    <t xml:space="preserve">Prompt password change</t>
  </si>
  <si>
    <t xml:space="preserve">Logout</t>
  </si>
  <si>
    <t xml:space="preserve">Login</t>
  </si>
  <si>
    <t xml:space="preserve">IPOS-PU-PRM</t>
  </si>
  <si>
    <t xml:space="preserve">Promotion database</t>
  </si>
  <si>
    <t xml:space="preserve">Huzefa</t>
  </si>
  <si>
    <t xml:space="preserve">Make promotion</t>
  </si>
  <si>
    <t xml:space="preserve">Cancel promotion</t>
  </si>
  <si>
    <t xml:space="preserve">Admin account</t>
  </si>
  <si>
    <t xml:space="preserve">Record clicks/sales</t>
  </si>
  <si>
    <t xml:space="preserve">IPOS-PU-RPT</t>
  </si>
  <si>
    <t xml:space="preserve">Sales within a period</t>
  </si>
  <si>
    <t xml:space="preserve">Faisal</t>
  </si>
  <si>
    <t xml:space="preserve">Ad campaign for a period</t>
  </si>
  <si>
    <t xml:space="preserve">Hits of ad campaign</t>
  </si>
  <si>
    <t xml:space="preserve">IPOS-PU-SALES</t>
  </si>
  <si>
    <t xml:space="preserve">Filter catalogue</t>
  </si>
  <si>
    <t xml:space="preserve">Haris</t>
  </si>
  <si>
    <t xml:space="preserve">Add to cart</t>
  </si>
  <si>
    <t xml:space="preserve">Confirm order</t>
  </si>
  <si>
    <t xml:space="preserve">Haris, Dawud</t>
  </si>
  <si>
    <t xml:space="preserve">Checkout</t>
  </si>
  <si>
    <t xml:space="preserve">Update order status</t>
  </si>
  <si>
    <t xml:space="preserve">Check item for promotion</t>
  </si>
  <si>
    <t xml:space="preserve">Record items sold</t>
  </si>
  <si>
    <t xml:space="preserve">Record items viewed</t>
  </si>
  <si>
    <t xml:space="preserve">Calculate tax</t>
  </si>
  <si>
    <t xml:space="preserve">Update cart</t>
  </si>
  <si>
    <t xml:space="preserve">Check 10th purchase discount</t>
  </si>
  <si>
    <t xml:space="preserve">Check promotion discount</t>
  </si>
  <si>
    <t xml:space="preserve">Make purchase</t>
  </si>
  <si>
    <t xml:space="preserve">View cart</t>
  </si>
  <si>
    <t xml:space="preserve">View item</t>
  </si>
  <si>
    <t xml:space="preserve">Search catalogue</t>
  </si>
  <si>
    <t xml:space="preserve">View catalogue</t>
  </si>
  <si>
    <t xml:space="preserve">IPOS-PU-TEST</t>
  </si>
  <si>
    <t xml:space="preserve">REST API tests</t>
  </si>
  <si>
    <t xml:space="preserve">IPOS-PU-DOCS</t>
  </si>
  <si>
    <t xml:space="preserve">Implementation Report</t>
  </si>
  <si>
    <t xml:space="preserve">Haris, Huzefa, Bahja, Faisal</t>
  </si>
  <si>
    <t xml:space="preserve">Project Binder</t>
  </si>
  <si>
    <t xml:space="preserve">Insert new rows ABOVE this one</t>
  </si>
</sst>
</file>

<file path=xl/styles.xml><?xml version="1.0" encoding="utf-8"?>
<styleSheet xmlns="http://schemas.openxmlformats.org/spreadsheetml/2006/main">
  <numFmts count="8">
    <numFmt numFmtId="164" formatCode="General"/>
    <numFmt numFmtId="165" formatCode="m/d/yy;@"/>
    <numFmt numFmtId="166" formatCode="ddd&quot;, &quot;m/d/yyyy"/>
    <numFmt numFmtId="167" formatCode="dd/mm/yyyy"/>
    <numFmt numFmtId="168" formatCode="mmm\ d&quot;, &quot;yyyy"/>
    <numFmt numFmtId="169" formatCode="d"/>
    <numFmt numFmtId="170" formatCode="0%"/>
    <numFmt numFmtId="171" formatCode="dd/mm/yyyy;@"/>
  </numFmts>
  <fonts count="25">
    <font>
      <sz val="11"/>
      <color theme="1"/>
      <name val="Arial"/>
      <family val="2"/>
      <charset val="1"/>
    </font>
    <font>
      <sz val="10"/>
      <name val="Arial"/>
      <family val="0"/>
    </font>
    <font>
      <sz val="10"/>
      <name val="Arial"/>
      <family val="0"/>
    </font>
    <font>
      <sz val="10"/>
      <name val="Arial"/>
      <family val="0"/>
    </font>
    <font>
      <sz val="11"/>
      <color theme="0"/>
      <name val="Arial"/>
      <family val="2"/>
      <charset val="1"/>
    </font>
    <font>
      <b val="true"/>
      <sz val="40"/>
      <color theme="9"/>
      <name val="Arial Black"/>
      <family val="2"/>
      <charset val="1"/>
    </font>
    <font>
      <b val="true"/>
      <sz val="22"/>
      <color theme="1" tint="0.3499"/>
      <name val="Arial Black"/>
      <family val="2"/>
      <charset val="1"/>
    </font>
    <font>
      <b val="true"/>
      <sz val="20"/>
      <color theme="4" tint="-0.25"/>
      <name val="Arial"/>
      <family val="2"/>
      <charset val="1"/>
    </font>
    <font>
      <sz val="10"/>
      <name val="Arial"/>
      <family val="2"/>
      <charset val="1"/>
    </font>
    <font>
      <b val="true"/>
      <sz val="16"/>
      <color theme="9"/>
      <name val="Arial"/>
      <family val="2"/>
      <charset val="1"/>
    </font>
    <font>
      <sz val="16"/>
      <color theme="1"/>
      <name val="Arial"/>
      <family val="2"/>
      <charset val="1"/>
    </font>
    <font>
      <b val="true"/>
      <sz val="16"/>
      <color theme="9"/>
      <name val="Arial Black"/>
      <family val="2"/>
      <charset val="1"/>
    </font>
    <font>
      <sz val="14"/>
      <color theme="1"/>
      <name val="Arial"/>
      <family val="2"/>
      <charset val="1"/>
    </font>
    <font>
      <b val="true"/>
      <sz val="11"/>
      <name val="Arial"/>
      <family val="2"/>
      <charset val="1"/>
    </font>
    <font>
      <u val="single"/>
      <sz val="11"/>
      <color rgb="FF0000FF"/>
      <name val="Arial"/>
      <family val="2"/>
      <charset val="1"/>
    </font>
    <font>
      <sz val="10"/>
      <color theme="1"/>
      <name val="Arial"/>
      <family val="2"/>
      <charset val="1"/>
    </font>
    <font>
      <b val="true"/>
      <sz val="10"/>
      <color theme="1"/>
      <name val="Arial"/>
      <family val="2"/>
      <charset val="1"/>
    </font>
    <font>
      <b val="true"/>
      <sz val="8"/>
      <name val="Arial"/>
      <family val="2"/>
      <charset val="1"/>
    </font>
    <font>
      <b val="true"/>
      <sz val="8"/>
      <color theme="1"/>
      <name val="Arial"/>
      <family val="2"/>
      <charset val="1"/>
    </font>
    <font>
      <b val="true"/>
      <sz val="12"/>
      <color theme="1"/>
      <name val="Arial"/>
      <family val="2"/>
      <charset val="1"/>
    </font>
    <font>
      <sz val="11"/>
      <name val="Arial"/>
      <family val="2"/>
      <charset val="1"/>
    </font>
    <font>
      <b val="true"/>
      <sz val="10"/>
      <name val="Arial"/>
      <family val="2"/>
      <charset val="1"/>
    </font>
    <font>
      <i val="true"/>
      <sz val="10"/>
      <color theme="1"/>
      <name val="Arial"/>
      <family val="2"/>
      <charset val="1"/>
    </font>
    <font>
      <sz val="10"/>
      <color theme="1" tint="0.4999"/>
      <name val="Arial"/>
      <family val="2"/>
      <charset val="1"/>
    </font>
    <font>
      <b val="true"/>
      <sz val="11"/>
      <color theme="1" tint="0.4999"/>
      <name val="Arial"/>
      <family val="2"/>
      <charset val="1"/>
    </font>
  </fonts>
  <fills count="10">
    <fill>
      <patternFill patternType="none"/>
    </fill>
    <fill>
      <patternFill patternType="gray125"/>
    </fill>
    <fill>
      <patternFill patternType="solid">
        <fgColor theme="0" tint="-0.05"/>
        <bgColor rgb="FFE5F4EB"/>
      </patternFill>
    </fill>
    <fill>
      <patternFill patternType="solid">
        <fgColor theme="0" tint="-0.15"/>
        <bgColor rgb="FFE0D4FD"/>
      </patternFill>
    </fill>
    <fill>
      <patternFill patternType="solid">
        <fgColor theme="4" tint="0.5999"/>
        <bgColor rgb="FFA6A6A6"/>
      </patternFill>
    </fill>
    <fill>
      <patternFill patternType="solid">
        <fgColor theme="4" tint="0.7999"/>
        <bgColor rgb="FFD9D9D9"/>
      </patternFill>
    </fill>
    <fill>
      <patternFill patternType="solid">
        <fgColor theme="5" tint="0.5999"/>
        <bgColor rgb="FFC1A9FC"/>
      </patternFill>
    </fill>
    <fill>
      <patternFill patternType="solid">
        <fgColor theme="5" tint="0.7999"/>
        <bgColor rgb="FFE0D4FD"/>
      </patternFill>
    </fill>
    <fill>
      <patternFill patternType="solid">
        <fgColor theme="6" tint="0.5999"/>
        <bgColor rgb="FFD9D9D9"/>
      </patternFill>
    </fill>
    <fill>
      <patternFill patternType="solid">
        <fgColor theme="6" tint="0.7999"/>
        <bgColor rgb="FFF2F2F2"/>
      </patternFill>
    </fill>
  </fills>
  <borders count="18">
    <border diagonalUp="false" diagonalDown="false">
      <left/>
      <right/>
      <top/>
      <bottom/>
      <diagonal/>
    </border>
    <border diagonalUp="false" diagonalDown="false">
      <left/>
      <right/>
      <top style="medium">
        <color theme="0" tint="-0.15"/>
      </top>
      <bottom style="medium">
        <color theme="0" tint="-0.15"/>
      </bottom>
      <diagonal/>
    </border>
    <border diagonalUp="false" diagonalDown="false">
      <left style="thin">
        <color theme="0" tint="-0.35"/>
      </left>
      <right style="thin">
        <color theme="0" tint="-0.35"/>
      </right>
      <top style="thin">
        <color theme="0" tint="-0.35"/>
      </top>
      <bottom style="thin">
        <color theme="0" tint="-0.35"/>
      </bottom>
      <diagonal/>
    </border>
    <border diagonalUp="false" diagonalDown="false">
      <left/>
      <right style="thin">
        <color theme="1" tint="0.4999"/>
      </right>
      <top style="thin">
        <color theme="1" tint="0.4999"/>
      </top>
      <bottom style="thin">
        <color theme="1" tint="0.4999"/>
      </bottom>
      <diagonal/>
    </border>
    <border diagonalUp="false" diagonalDown="false">
      <left style="thin">
        <color theme="1" tint="0.4999"/>
      </left>
      <right style="thin">
        <color theme="1" tint="0.4999"/>
      </right>
      <top style="thin">
        <color theme="1" tint="0.4999"/>
      </top>
      <bottom style="thin">
        <color theme="1" tint="0.4999"/>
      </bottom>
      <diagonal/>
    </border>
    <border diagonalUp="false" diagonalDown="false">
      <left style="thin">
        <color theme="1" tint="0.4999"/>
      </left>
      <right/>
      <top style="thin">
        <color theme="1" tint="0.4999"/>
      </top>
      <bottom style="thin">
        <color theme="1" tint="0.4999"/>
      </bottom>
      <diagonal/>
    </border>
    <border diagonalUp="false" diagonalDown="false">
      <left/>
      <right/>
      <top style="thin">
        <color theme="1" tint="0.4999"/>
      </top>
      <bottom style="thin">
        <color theme="1" tint="0.4999"/>
      </bottom>
      <diagonal/>
    </border>
    <border diagonalUp="false" diagonalDown="false">
      <left/>
      <right style="thin">
        <color theme="1" tint="0.4999"/>
      </right>
      <top style="thin">
        <color theme="1" tint="0.4999"/>
      </top>
      <bottom/>
      <diagonal/>
    </border>
    <border diagonalUp="false" diagonalDown="false">
      <left style="thin">
        <color theme="1" tint="0.4999"/>
      </left>
      <right style="thin">
        <color theme="1" tint="0.4999"/>
      </right>
      <top style="thin">
        <color theme="1" tint="0.4999"/>
      </top>
      <bottom/>
      <diagonal/>
    </border>
    <border diagonalUp="false" diagonalDown="false">
      <left style="thin">
        <color theme="1" tint="0.4999"/>
      </left>
      <right/>
      <top style="thin">
        <color theme="1" tint="0.4999"/>
      </top>
      <bottom/>
      <diagonal/>
    </border>
    <border diagonalUp="false" diagonalDown="false">
      <left style="thin">
        <color theme="0" tint="-0.15"/>
      </left>
      <right style="thin">
        <color theme="0" tint="-0.15"/>
      </right>
      <top/>
      <bottom/>
      <diagonal/>
    </border>
    <border diagonalUp="false" diagonalDown="false">
      <left/>
      <right/>
      <top style="thin">
        <color theme="0" tint="-0.05"/>
      </top>
      <bottom/>
      <diagonal/>
    </border>
    <border diagonalUp="false" diagonalDown="false">
      <left/>
      <right/>
      <top/>
      <bottom style="thin">
        <color theme="4" tint="0.5999"/>
      </bottom>
      <diagonal/>
    </border>
    <border diagonalUp="false" diagonalDown="false">
      <left style="thin">
        <color theme="0" tint="-0.05"/>
      </left>
      <right style="thin">
        <color theme="0" tint="-0.05"/>
      </right>
      <top style="thin">
        <color theme="0" tint="-0.05"/>
      </top>
      <bottom style="thin">
        <color theme="0" tint="-0.05"/>
      </bottom>
      <diagonal/>
    </border>
    <border diagonalUp="false" diagonalDown="false">
      <left/>
      <right/>
      <top style="thin">
        <color theme="4" tint="0.5999"/>
      </top>
      <bottom style="thin">
        <color theme="4" tint="0.5999"/>
      </bottom>
      <diagonal/>
    </border>
    <border diagonalUp="false" diagonalDown="false">
      <left/>
      <right/>
      <top style="thin">
        <color theme="5" tint="0.5999"/>
      </top>
      <bottom style="thin">
        <color theme="5" tint="0.5999"/>
      </bottom>
      <diagonal/>
    </border>
    <border diagonalUp="false" diagonalDown="false">
      <left/>
      <right/>
      <top/>
      <bottom style="thin">
        <color theme="0" tint="-0.05"/>
      </bottom>
      <diagonal/>
    </border>
    <border diagonalUp="false" diagonalDown="false">
      <left/>
      <right/>
      <top style="thin">
        <color theme="6" tint="0.5999"/>
      </top>
      <bottom style="thin">
        <color theme="6" tint="0.5999"/>
      </bottom>
      <diagonal/>
    </border>
  </borders>
  <cellStyleXfs count="3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5" fontId="0" fillId="0" borderId="1"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center" vertical="center" textRotation="0" wrapText="false" indent="0" shrinkToFit="false"/>
      <protection locked="true" hidden="false"/>
    </xf>
    <xf numFmtId="166" fontId="0" fillId="0" borderId="2" applyFont="true" applyBorder="true" applyAlignment="true" applyProtection="true">
      <alignment horizontal="center" vertical="center" textRotation="0" wrapText="false" indent="0" shrinkToFit="false"/>
      <protection locked="true" hidden="false"/>
    </xf>
    <xf numFmtId="164" fontId="0" fillId="0" borderId="1" applyFont="true" applyBorder="true" applyAlignment="true" applyProtection="true">
      <alignment horizontal="left" vertical="center" textRotation="0" wrapText="false" indent="2"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false">
      <alignment horizontal="right" vertical="bottom" textRotation="0" wrapText="false" indent="1" shrinkToFit="false"/>
    </xf>
    <xf numFmtId="164" fontId="12" fillId="0" borderId="0" applyFont="true" applyBorder="true" applyAlignment="true" applyProtection="false">
      <alignment horizontal="general" vertical="bottom" textRotation="0" wrapText="false" indent="0" shrinkToFit="false"/>
    </xf>
    <xf numFmtId="164" fontId="12" fillId="0" borderId="0" applyFont="true" applyBorder="true" applyAlignment="true" applyProtection="false">
      <alignment horizontal="general" vertical="top" textRotation="0" wrapText="false" indent="0" shrinkToFit="false"/>
    </xf>
  </cellStyleXfs>
  <cellXfs count="9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5"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25" applyFont="true" applyBorder="false" applyAlignment="true" applyProtection="false">
      <alignment horizontal="general" vertical="bottom" textRotation="0" wrapText="true" indent="0" shrinkToFit="false"/>
      <protection locked="true" hidden="false"/>
    </xf>
    <xf numFmtId="164" fontId="5" fillId="0" borderId="0" xfId="26"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9" fillId="0" borderId="0" xfId="27" applyFont="true" applyBorder="true" applyAlignment="true" applyProtection="true">
      <alignment horizontal="lef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1" fillId="0" borderId="0" xfId="23" applyFont="true" applyBorder="true" applyAlignment="true" applyProtection="false">
      <alignment horizontal="left" vertical="bottom" textRotation="0" wrapText="false" indent="0" shrinkToFit="false"/>
      <protection locked="true" hidden="false"/>
    </xf>
    <xf numFmtId="164" fontId="9" fillId="0" borderId="0" xfId="28" applyFont="true" applyBorder="false" applyAlignment="true" applyProtection="true">
      <alignment horizontal="left" vertical="center" textRotation="0" wrapText="false" indent="1" shrinkToFit="false"/>
      <protection locked="true" hidden="false"/>
    </xf>
    <xf numFmtId="164" fontId="9" fillId="0" borderId="0" xfId="29" applyFont="true" applyBorder="false" applyAlignment="true" applyProtection="true">
      <alignment horizontal="left" vertical="center" textRotation="0" wrapText="false" indent="1"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1"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27" applyFont="true" applyBorder="false" applyAlignment="true" applyProtection="true">
      <alignment horizontal="right" vertical="bottom" textRotation="0" wrapText="false" indent="1"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8" fillId="0" borderId="0" xfId="20" applyFont="true" applyBorder="true" applyAlignment="true" applyProtection="true">
      <alignment horizontal="left" vertical="top" textRotation="0" wrapText="false" indent="1" shrinkToFit="false"/>
      <protection locked="true" hidden="false"/>
    </xf>
    <xf numFmtId="164" fontId="0" fillId="0" borderId="0" xfId="0" applyFont="true" applyBorder="false" applyAlignment="true" applyProtection="false">
      <alignment horizontal="left" vertical="bottom" textRotation="0" wrapText="false" indent="1" shrinkToFit="false"/>
      <protection locked="true" hidden="false"/>
    </xf>
    <xf numFmtId="168" fontId="15" fillId="2" borderId="3" xfId="0" applyFont="true" applyBorder="true" applyAlignment="true" applyProtection="false">
      <alignment horizontal="center" vertical="center" textRotation="0" wrapText="true" indent="0" shrinkToFit="false"/>
      <protection locked="true" hidden="false"/>
    </xf>
    <xf numFmtId="168" fontId="15" fillId="2" borderId="4" xfId="0" applyFont="true" applyBorder="true" applyAlignment="true" applyProtection="false">
      <alignment horizontal="center" vertical="center" textRotation="0" wrapText="true" indent="0" shrinkToFit="false"/>
      <protection locked="true" hidden="false"/>
    </xf>
    <xf numFmtId="168" fontId="15" fillId="2" borderId="5" xfId="0" applyFont="true" applyBorder="true" applyAlignment="true" applyProtection="false">
      <alignment horizontal="center" vertical="center" textRotation="0" wrapText="true" indent="0" shrinkToFit="false"/>
      <protection locked="true" hidden="false"/>
    </xf>
    <xf numFmtId="164" fontId="4" fillId="0" borderId="0" xfId="25" applyFont="true" applyBorder="true" applyAlignment="true" applyProtection="false">
      <alignment horizontal="general" vertical="bottom" textRotation="0" wrapText="true" indent="0" shrinkToFit="false"/>
      <protection locked="true" hidden="false"/>
    </xf>
    <xf numFmtId="164" fontId="16" fillId="2" borderId="6" xfId="0" applyFont="true" applyBorder="true" applyAlignment="true" applyProtection="false">
      <alignment horizontal="left" vertical="center" textRotation="0" wrapText="true" indent="1" shrinkToFit="false"/>
      <protection locked="true" hidden="false"/>
    </xf>
    <xf numFmtId="164" fontId="16" fillId="2" borderId="6" xfId="0" applyFont="true" applyBorder="true" applyAlignment="true" applyProtection="false">
      <alignment horizontal="general" vertical="center" textRotation="0" wrapText="true" indent="0" shrinkToFit="false"/>
      <protection locked="true" hidden="false"/>
    </xf>
    <xf numFmtId="164" fontId="16" fillId="2" borderId="6" xfId="0" applyFont="true" applyBorder="true" applyAlignment="true" applyProtection="false">
      <alignment horizontal="center" vertical="center" textRotation="0" wrapText="false" indent="0" shrinkToFit="false"/>
      <protection locked="true" hidden="false"/>
    </xf>
    <xf numFmtId="169" fontId="17" fillId="3" borderId="6" xfId="0" applyFont="true" applyBorder="true" applyAlignment="true" applyProtection="false">
      <alignment horizontal="center" vertical="center" textRotation="0" wrapText="false" indent="0" shrinkToFit="false"/>
      <protection locked="true" hidden="false"/>
    </xf>
    <xf numFmtId="169" fontId="17" fillId="3" borderId="3" xfId="0" applyFont="true" applyBorder="true" applyAlignment="true" applyProtection="false">
      <alignment horizontal="center" vertical="center" textRotation="0" wrapText="false" indent="0" shrinkToFit="false"/>
      <protection locked="true" hidden="false"/>
    </xf>
    <xf numFmtId="169" fontId="17" fillId="3" borderId="5" xfId="0" applyFont="true" applyBorder="true" applyAlignment="true" applyProtection="false">
      <alignment horizontal="center" vertical="center" textRotation="0" wrapText="false" indent="0" shrinkToFit="false"/>
      <protection locked="true" hidden="false"/>
    </xf>
    <xf numFmtId="164" fontId="18" fillId="2" borderId="7" xfId="0" applyFont="true" applyBorder="true" applyAlignment="true" applyProtection="false">
      <alignment horizontal="center" vertical="center" textRotation="0" wrapText="false" indent="0" shrinkToFit="true"/>
      <protection locked="true" hidden="false"/>
    </xf>
    <xf numFmtId="164" fontId="18" fillId="2" borderId="8" xfId="0" applyFont="true" applyBorder="true" applyAlignment="true" applyProtection="false">
      <alignment horizontal="center" vertical="center" textRotation="0" wrapText="false" indent="0" shrinkToFit="true"/>
      <protection locked="true" hidden="false"/>
    </xf>
    <xf numFmtId="164" fontId="18" fillId="2" borderId="9" xfId="0" applyFont="true" applyBorder="true" applyAlignment="true" applyProtection="false">
      <alignment horizontal="center" vertical="center" textRotation="0" wrapText="false" indent="0" shrinkToFit="true"/>
      <protection locked="true" hidden="false"/>
    </xf>
    <xf numFmtId="164" fontId="15" fillId="0" borderId="0" xfId="0" applyFont="true" applyBorder="false" applyAlignment="true" applyProtection="false">
      <alignment horizontal="general" vertical="bottom"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19" fillId="4" borderId="0" xfId="0" applyFont="true" applyBorder="false" applyAlignment="true" applyProtection="false">
      <alignment horizontal="left" vertical="center" textRotation="0" wrapText="true" indent="1" shrinkToFit="false"/>
      <protection locked="true" hidden="false"/>
    </xf>
    <xf numFmtId="164" fontId="15" fillId="4" borderId="0" xfId="22" applyFont="true" applyBorder="true" applyAlignment="true" applyProtection="false">
      <alignment horizontal="general" vertical="center" textRotation="0" wrapText="true" indent="0" shrinkToFit="false"/>
      <protection locked="true" hidden="false"/>
    </xf>
    <xf numFmtId="170" fontId="8" fillId="4" borderId="0" xfId="19" applyFont="true" applyBorder="true" applyAlignment="true" applyProtection="true">
      <alignment horizontal="center" vertical="center" textRotation="0" wrapText="false" indent="0" shrinkToFit="false"/>
      <protection locked="true" hidden="false"/>
    </xf>
    <xf numFmtId="171" fontId="15" fillId="4" borderId="0" xfId="0" applyFont="true" applyBorder="false" applyAlignment="true" applyProtection="false">
      <alignment horizontal="center" vertical="center" textRotation="0" wrapText="false" indent="0" shrinkToFit="false"/>
      <protection locked="true" hidden="false"/>
    </xf>
    <xf numFmtId="171" fontId="8" fillId="4"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15" fillId="5" borderId="12" xfId="24" applyFont="true" applyBorder="true" applyAlignment="true" applyProtection="false">
      <alignment horizontal="left" vertical="center" textRotation="0" wrapText="true" indent="2" shrinkToFit="false"/>
      <protection locked="true" hidden="false"/>
    </xf>
    <xf numFmtId="164" fontId="15" fillId="5" borderId="12" xfId="22" applyFont="true" applyBorder="true" applyAlignment="true" applyProtection="false">
      <alignment horizontal="general" vertical="center" textRotation="0" wrapText="true" indent="0" shrinkToFit="false"/>
      <protection locked="true" hidden="false"/>
    </xf>
    <xf numFmtId="170" fontId="8" fillId="5" borderId="12" xfId="19" applyFont="true" applyBorder="true" applyAlignment="true" applyProtection="true">
      <alignment horizontal="center" vertical="center" textRotation="0" wrapText="false" indent="0" shrinkToFit="false"/>
      <protection locked="true" hidden="false"/>
    </xf>
    <xf numFmtId="171" fontId="15" fillId="5" borderId="12" xfId="21" applyFont="true" applyBorder="tru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general" vertical="center" textRotation="0" wrapText="false" indent="0" shrinkToFit="false"/>
      <protection locked="true" hidden="false"/>
    </xf>
    <xf numFmtId="164" fontId="15" fillId="5" borderId="14" xfId="24" applyFont="true" applyBorder="true" applyAlignment="true" applyProtection="false">
      <alignment horizontal="left" vertical="center" textRotation="0" wrapText="true" indent="2" shrinkToFit="false"/>
      <protection locked="true" hidden="false"/>
    </xf>
    <xf numFmtId="164" fontId="15" fillId="5" borderId="14" xfId="22" applyFont="true" applyBorder="true" applyAlignment="true" applyProtection="false">
      <alignment horizontal="general" vertical="center" textRotation="0" wrapText="true" indent="0" shrinkToFit="false"/>
      <protection locked="true" hidden="false"/>
    </xf>
    <xf numFmtId="170" fontId="8" fillId="5" borderId="14" xfId="19" applyFont="true" applyBorder="true" applyAlignment="true" applyProtection="true">
      <alignment horizontal="center" vertical="center" textRotation="0" wrapText="false" indent="0" shrinkToFit="false"/>
      <protection locked="true" hidden="false"/>
    </xf>
    <xf numFmtId="171" fontId="15" fillId="5" borderId="14" xfId="21" applyFont="true" applyBorder="true" applyAlignment="true" applyProtection="false">
      <alignment horizontal="center" vertical="center" textRotation="0" wrapText="false" indent="0" shrinkToFit="false"/>
      <protection locked="true" hidden="false"/>
    </xf>
    <xf numFmtId="164" fontId="0" fillId="0" borderId="13" xfId="0" applyFont="true" applyBorder="true" applyAlignment="true" applyProtection="false">
      <alignment horizontal="right" vertical="center" textRotation="0" wrapText="false" indent="0" shrinkToFit="false"/>
      <protection locked="true" hidden="false"/>
    </xf>
    <xf numFmtId="164" fontId="19" fillId="6" borderId="0" xfId="0" applyFont="true" applyBorder="false" applyAlignment="true" applyProtection="false">
      <alignment horizontal="left" vertical="center" textRotation="0" wrapText="true" indent="1" shrinkToFit="false"/>
      <protection locked="true" hidden="false"/>
    </xf>
    <xf numFmtId="164" fontId="16" fillId="6" borderId="0" xfId="22" applyFont="true" applyBorder="true" applyAlignment="true" applyProtection="false">
      <alignment horizontal="general" vertical="center" textRotation="0" wrapText="true" indent="0" shrinkToFit="false"/>
      <protection locked="true" hidden="false"/>
    </xf>
    <xf numFmtId="170" fontId="21" fillId="6" borderId="0" xfId="19" applyFont="true" applyBorder="true" applyAlignment="true" applyProtection="true">
      <alignment horizontal="center" vertical="center" textRotation="0" wrapText="false" indent="0" shrinkToFit="false"/>
      <protection locked="true" hidden="false"/>
    </xf>
    <xf numFmtId="171" fontId="16" fillId="6" borderId="0" xfId="0" applyFont="true" applyBorder="false" applyAlignment="true" applyProtection="false">
      <alignment horizontal="center" vertical="center" textRotation="0" wrapText="false" indent="0" shrinkToFit="false"/>
      <protection locked="true" hidden="false"/>
    </xf>
    <xf numFmtId="171" fontId="21" fillId="6" borderId="0" xfId="0" applyFont="true" applyBorder="false" applyAlignment="true" applyProtection="false">
      <alignment horizontal="center" vertical="center" textRotation="0" wrapText="false" indent="0" shrinkToFit="false"/>
      <protection locked="true" hidden="false"/>
    </xf>
    <xf numFmtId="164" fontId="15" fillId="7" borderId="15" xfId="24" applyFont="true" applyBorder="true" applyAlignment="true" applyProtection="false">
      <alignment horizontal="left" vertical="center" textRotation="0" wrapText="true" indent="2" shrinkToFit="false"/>
      <protection locked="true" hidden="false"/>
    </xf>
    <xf numFmtId="164" fontId="15" fillId="7" borderId="15" xfId="22" applyFont="true" applyBorder="true" applyAlignment="true" applyProtection="false">
      <alignment horizontal="general" vertical="center" textRotation="0" wrapText="true" indent="0" shrinkToFit="false"/>
      <protection locked="true" hidden="false"/>
    </xf>
    <xf numFmtId="170" fontId="8" fillId="7" borderId="15" xfId="19" applyFont="true" applyBorder="true" applyAlignment="true" applyProtection="true">
      <alignment horizontal="center" vertical="center" textRotation="0" wrapText="false" indent="0" shrinkToFit="false"/>
      <protection locked="true" hidden="false"/>
    </xf>
    <xf numFmtId="171" fontId="15" fillId="7" borderId="15" xfId="21" applyFont="true" applyBorder="true" applyAlignment="true" applyProtection="false">
      <alignment horizontal="center" vertical="center" textRotation="0" wrapText="false" indent="0" shrinkToFit="false"/>
      <protection locked="true" hidden="false"/>
    </xf>
    <xf numFmtId="164" fontId="19" fillId="8" borderId="0" xfId="0" applyFont="true" applyBorder="false" applyAlignment="true" applyProtection="false">
      <alignment horizontal="left" vertical="center" textRotation="0" wrapText="true" indent="1" shrinkToFit="false"/>
      <protection locked="true" hidden="false"/>
    </xf>
    <xf numFmtId="164" fontId="16" fillId="8" borderId="0" xfId="22" applyFont="true" applyBorder="true" applyAlignment="true" applyProtection="false">
      <alignment horizontal="general" vertical="center" textRotation="0" wrapText="true" indent="0" shrinkToFit="false"/>
      <protection locked="true" hidden="false"/>
    </xf>
    <xf numFmtId="170" fontId="21" fillId="8" borderId="0" xfId="19" applyFont="true" applyBorder="true" applyAlignment="true" applyProtection="true">
      <alignment horizontal="center" vertical="center" textRotation="0" wrapText="false" indent="0" shrinkToFit="false"/>
      <protection locked="true" hidden="false"/>
    </xf>
    <xf numFmtId="171" fontId="16" fillId="8" borderId="0" xfId="0" applyFont="true" applyBorder="false" applyAlignment="true" applyProtection="false">
      <alignment horizontal="center" vertical="center" textRotation="0" wrapText="false" indent="0" shrinkToFit="false"/>
      <protection locked="true" hidden="false"/>
    </xf>
    <xf numFmtId="171" fontId="21" fillId="8" borderId="0" xfId="0" applyFont="true" applyBorder="false" applyAlignment="true" applyProtection="false">
      <alignment horizontal="center" vertical="center" textRotation="0" wrapText="false" indent="0" shrinkToFit="false"/>
      <protection locked="true" hidden="false"/>
    </xf>
    <xf numFmtId="164" fontId="0" fillId="0" borderId="16" xfId="0" applyFont="true" applyBorder="true" applyAlignment="true" applyProtection="false">
      <alignment horizontal="general" vertical="center" textRotation="0" wrapText="false" indent="0" shrinkToFit="false"/>
      <protection locked="true" hidden="false"/>
    </xf>
    <xf numFmtId="164" fontId="16" fillId="9" borderId="17" xfId="24" applyFont="true" applyBorder="true" applyAlignment="true" applyProtection="false">
      <alignment horizontal="left" vertical="center" textRotation="0" wrapText="true" indent="2" shrinkToFit="false"/>
      <protection locked="true" hidden="false"/>
    </xf>
    <xf numFmtId="164" fontId="16" fillId="9" borderId="17" xfId="22" applyFont="true" applyBorder="true" applyAlignment="true" applyProtection="false">
      <alignment horizontal="general" vertical="center" textRotation="0" wrapText="true" indent="0" shrinkToFit="false"/>
      <protection locked="true" hidden="false"/>
    </xf>
    <xf numFmtId="170" fontId="21" fillId="9" borderId="17" xfId="19" applyFont="true" applyBorder="true" applyAlignment="true" applyProtection="true">
      <alignment horizontal="center" vertical="center" textRotation="0" wrapText="false" indent="0" shrinkToFit="false"/>
      <protection locked="true" hidden="false"/>
    </xf>
    <xf numFmtId="171" fontId="16" fillId="9" borderId="17" xfId="21" applyFont="true" applyBorder="true" applyAlignment="true" applyProtection="false">
      <alignment horizontal="center" vertical="center" textRotation="0" wrapText="false" indent="0" shrinkToFit="false"/>
      <protection locked="true" hidden="false"/>
    </xf>
    <xf numFmtId="164" fontId="15" fillId="9" borderId="17" xfId="24" applyFont="true" applyBorder="true" applyAlignment="true" applyProtection="false">
      <alignment horizontal="left" vertical="center" textRotation="0" wrapText="true" indent="2" shrinkToFit="false"/>
      <protection locked="true" hidden="false"/>
    </xf>
    <xf numFmtId="164" fontId="15" fillId="9" borderId="17" xfId="22" applyFont="true" applyBorder="true" applyAlignment="true" applyProtection="false">
      <alignment horizontal="general" vertical="center" textRotation="0" wrapText="true" indent="0" shrinkToFit="false"/>
      <protection locked="true" hidden="false"/>
    </xf>
    <xf numFmtId="170" fontId="8" fillId="9" borderId="17" xfId="19" applyFont="true" applyBorder="true" applyAlignment="true" applyProtection="true">
      <alignment horizontal="center" vertical="center" textRotation="0" wrapText="false" indent="0" shrinkToFit="false"/>
      <protection locked="true" hidden="false"/>
    </xf>
    <xf numFmtId="171" fontId="15" fillId="9" borderId="17" xfId="21" applyFont="true" applyBorder="true" applyAlignment="true" applyProtection="false">
      <alignment horizontal="center" vertical="center" textRotation="0" wrapText="false" indent="0" shrinkToFit="false"/>
      <protection locked="true" hidden="false"/>
    </xf>
    <xf numFmtId="164" fontId="15" fillId="0" borderId="0" xfId="24" applyFont="true" applyBorder="true" applyAlignment="true" applyProtection="false">
      <alignment horizontal="left" vertical="center" textRotation="0" wrapText="true" indent="2" shrinkToFit="false"/>
      <protection locked="true" hidden="false"/>
    </xf>
    <xf numFmtId="164" fontId="15" fillId="0" borderId="0" xfId="22" applyFont="true" applyBorder="true" applyAlignment="true" applyProtection="false">
      <alignment horizontal="general" vertical="center" textRotation="0" wrapText="true" indent="0" shrinkToFit="false"/>
      <protection locked="true" hidden="false"/>
    </xf>
    <xf numFmtId="170" fontId="8" fillId="0" borderId="0" xfId="19" applyFont="true" applyBorder="true" applyAlignment="true" applyProtection="true">
      <alignment horizontal="center" vertical="center" textRotation="0" wrapText="false" indent="0" shrinkToFit="false"/>
      <protection locked="true" hidden="false"/>
    </xf>
    <xf numFmtId="165" fontId="15" fillId="0" borderId="0" xfId="21" applyFont="true" applyBorder="true" applyAlignment="true" applyProtection="false">
      <alignment horizontal="center" vertical="center" textRotation="0" wrapText="false" indent="0" shrinkToFit="false"/>
      <protection locked="true" hidden="false"/>
    </xf>
    <xf numFmtId="164" fontId="22" fillId="2" borderId="0" xfId="0" applyFont="true" applyBorder="false" applyAlignment="true" applyProtection="false">
      <alignment horizontal="left" vertical="center" textRotation="0" wrapText="true" indent="1" shrinkToFit="false"/>
      <protection locked="true" hidden="false"/>
    </xf>
    <xf numFmtId="164" fontId="22" fillId="2" borderId="0" xfId="0" applyFont="true" applyBorder="false" applyAlignment="true" applyProtection="false">
      <alignment horizontal="general" vertical="center" textRotation="0" wrapText="true" indent="0" shrinkToFit="false"/>
      <protection locked="true" hidden="false"/>
    </xf>
    <xf numFmtId="170" fontId="8" fillId="2" borderId="0" xfId="19" applyFont="true" applyBorder="true" applyAlignment="true" applyProtection="true">
      <alignment horizontal="center" vertical="center" textRotation="0" wrapText="false" indent="0" shrinkToFit="false"/>
      <protection locked="true" hidden="false"/>
    </xf>
    <xf numFmtId="165" fontId="23" fillId="2" borderId="0" xfId="0" applyFont="true" applyBorder="false" applyAlignment="true" applyProtection="false">
      <alignment horizontal="left" vertical="center" textRotation="0" wrapText="false" indent="0" shrinkToFit="false"/>
      <protection locked="true" hidden="false"/>
    </xf>
    <xf numFmtId="165" fontId="8" fillId="2" borderId="0" xfId="0" applyFont="true" applyBorder="false" applyAlignment="true" applyProtection="false">
      <alignment horizontal="center" vertical="center" textRotation="0" wrapText="false" indent="0" shrinkToFit="false"/>
      <protection locked="true" hidden="false"/>
    </xf>
    <xf numFmtId="164" fontId="20" fillId="2" borderId="1"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23" fillId="0" borderId="0" xfId="20" applyFont="true" applyBorder="true" applyAlignment="true" applyProtection="true">
      <alignment horizontal="general" vertical="bottom" textRotation="0" wrapText="true" indent="0" shrinkToFit="false"/>
      <protection locked="true" hidden="false"/>
    </xf>
  </cellXfs>
  <cellStyles count="16">
    <cellStyle name="Normal" xfId="0" builtinId="0"/>
    <cellStyle name="Comma" xfId="15" builtinId="3"/>
    <cellStyle name="Comma [0]" xfId="16" builtinId="6"/>
    <cellStyle name="Currency" xfId="17" builtinId="4"/>
    <cellStyle name="Currency [0]" xfId="18" builtinId="7"/>
    <cellStyle name="Percent" xfId="19" builtinId="5"/>
    <cellStyle name="Date" xfId="21"/>
    <cellStyle name="Name" xfId="22"/>
    <cellStyle name="Project Start" xfId="23"/>
    <cellStyle name="Task" xfId="24"/>
    <cellStyle name="zHiddenText" xfId="25"/>
    <cellStyle name="Excel Built-in Title" xfId="26"/>
    <cellStyle name="Excel Built-in Heading 3" xfId="27"/>
    <cellStyle name="Excel Built-in Heading 1" xfId="28"/>
    <cellStyle name="Excel Built-in Heading 2" xfId="29"/>
    <cellStyle name="*unknown*" xfId="20" builtinId="8"/>
  </cellStyles>
  <dxfs count="7">
    <dxf>
      <border diagonalUp="false" diagonalDown="false">
        <left style="thin">
          <color theme="5"/>
        </left>
        <right style="thin">
          <color theme="5"/>
        </right>
        <top/>
        <bottom/>
        <diagonal/>
      </border>
    </dxf>
    <dxf>
      <fill>
        <patternFill>
          <bgColor theme="6" tint="0.7999"/>
        </patternFill>
      </fill>
      <border diagonalUp="false" diagonalDown="false">
        <left/>
        <right/>
        <top style="thin">
          <color theme="0" tint="-0.05"/>
        </top>
        <bottom style="thin">
          <color theme="0" tint="-0.05"/>
        </bottom>
        <diagonal/>
      </border>
    </dxf>
    <dxf>
      <fill>
        <patternFill>
          <bgColor theme="6" tint="0.3999"/>
        </patternFill>
      </fill>
      <border diagonalUp="false" diagonalDown="false">
        <left/>
        <right/>
        <top style="thin">
          <color theme="0" tint="-0.05"/>
        </top>
        <bottom style="thin">
          <color theme="0" tint="-0.05"/>
        </bottom>
        <diagonal/>
      </border>
    </dxf>
    <dxf>
      <fill>
        <patternFill>
          <bgColor theme="5" tint="0.7999"/>
        </patternFill>
      </fill>
    </dxf>
    <dxf>
      <fill>
        <patternFill>
          <bgColor theme="5" tint="0.3999"/>
        </patternFill>
      </fill>
      <border diagonalUp="false" diagonalDown="false">
        <left/>
        <right/>
        <top style="thin">
          <color theme="0" tint="-0.05"/>
        </top>
        <bottom style="thin">
          <color theme="0" tint="-0.05"/>
        </bottom>
        <diagonal/>
      </border>
    </dxf>
    <dxf>
      <fill>
        <patternFill>
          <bgColor theme="4" tint="0.7999"/>
        </patternFill>
      </fill>
      <border diagonalUp="false" diagonalDown="false">
        <left/>
        <right/>
        <top style="thin">
          <color theme="0" tint="-0.05"/>
        </top>
        <bottom style="thin">
          <color theme="0" tint="-0.05"/>
        </bottom>
        <diagonal/>
      </border>
    </dxf>
    <dxf>
      <fill>
        <patternFill>
          <bgColor theme="4" tint="0.3999"/>
        </patternFill>
      </fill>
      <border diagonalUp="false" diagonalDown="false">
        <left/>
        <right/>
        <top style="thin">
          <color theme="0" tint="-0.05"/>
        </top>
        <bottom style="thin">
          <color theme="0" tint="-0.05"/>
        </bottom>
        <diagonal/>
      </border>
    </dxf>
  </dxfs>
  <colors>
    <indexedColors>
      <rgbColor rgb="FF000000"/>
      <rgbColor rgb="FFFFFFFF"/>
      <rgbColor rgb="FFFF0000"/>
      <rgbColor rgb="FF00FF00"/>
      <rgbColor rgb="FF0000FF"/>
      <rgbColor rgb="FFFFFF00"/>
      <rgbColor rgb="FFD800A6"/>
      <rgbColor rgb="FF00FFFF"/>
      <rgbColor rgb="FF800000"/>
      <rgbColor rgb="FF008000"/>
      <rgbColor rgb="FF000080"/>
      <rgbColor rgb="FF808000"/>
      <rgbColor rgb="FF800080"/>
      <rgbColor rgb="FF008080"/>
      <rgbColor rgb="FFD9D9D9"/>
      <rgbColor rgb="FF7F7F7F"/>
      <rgbColor rgb="FFA37EFA"/>
      <rgbColor rgb="FF993366"/>
      <rgbColor rgb="FFF2F2F2"/>
      <rgbColor rgb="FFE5F4EB"/>
      <rgbColor rgb="FF660066"/>
      <rgbColor rgb="FFFF4FD6"/>
      <rgbColor rgb="FF1363DF"/>
      <rgbColor rgb="FFE0D4FD"/>
      <rgbColor rgb="FF000080"/>
      <rgbColor rgb="FFFF00FF"/>
      <rgbColor rgb="FFFFFF00"/>
      <rgbColor rgb="FF00FFFF"/>
      <rgbColor rgb="FF800080"/>
      <rgbColor rgb="FF800000"/>
      <rgbColor rgb="FF008080"/>
      <rgbColor rgb="FF0000FF"/>
      <rgbColor rgb="FF00CCFF"/>
      <rgbColor rgb="FFCCFFFF"/>
      <rgbColor rgb="FFCBEAD7"/>
      <rgbColor rgb="FFFFFF99"/>
      <rgbColor rgb="FFB2DFC4"/>
      <rgbColor rgb="FFFF89E4"/>
      <rgbColor rgb="FFC1A9FC"/>
      <rgbColor rgb="FFFFC4F1"/>
      <rgbColor rgb="FF3366FF"/>
      <rgbColor rgb="FF33CCCC"/>
      <rgbColor rgb="FF99CC00"/>
      <rgbColor rgb="FFFFCC00"/>
      <rgbColor rgb="FFFF9900"/>
      <rgbColor rgb="FFFF6600"/>
      <rgbColor rgb="FF595959"/>
      <rgbColor rgb="FFA6A6A6"/>
      <rgbColor rgb="FF003366"/>
      <rgbColor rgb="FF339966"/>
      <rgbColor rgb="FF003300"/>
      <rgbColor rgb="FF333300"/>
      <rgbColor rgb="FF993300"/>
      <rgbColor rgb="FF993366"/>
      <rgbColor rgb="FF4308D0"/>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customXml" Target="../customXml/item1.xml"/>
</Relationships>
</file>

<file path=xl/theme/theme1.xml><?xml version="1.0" encoding="utf-8"?>
<a:theme xmlns:a="http://schemas.openxmlformats.org/drawingml/2006/main" xmlns:r="http://schemas.openxmlformats.org/officeDocument/2006/relationships"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pitchFamily="0" charset="1"/>
        <a:ea typeface=""/>
        <a:cs typeface=""/>
      </a:majorFont>
      <a:minorFont>
        <a:latin typeface="Arial"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L98"/>
  <sheetViews>
    <sheetView showFormulas="false" showGridLines="false" showRowColHeaders="true" showZeros="true" rightToLeft="false" tabSelected="true" showOutlineSymbols="true" defaultGridColor="true" view="normal" topLeftCell="A23" colorId="64" zoomScale="100" zoomScaleNormal="100" zoomScalePageLayoutView="100" workbookViewId="0">
      <selection pane="topLeft" activeCell="D90" activeCellId="0" sqref="D90"/>
    </sheetView>
  </sheetViews>
  <sheetFormatPr defaultColWidth="8.72265625" defaultRowHeight="30" customHeight="true" zeroHeight="false" outlineLevelRow="0" outlineLevelCol="0"/>
  <cols>
    <col collapsed="false" customWidth="true" hidden="false" outlineLevel="0" max="1" min="1" style="1" width="2.72"/>
    <col collapsed="false" customWidth="true" hidden="false" outlineLevel="0" max="2" min="2" style="2" width="22.72"/>
    <col collapsed="false" customWidth="true" hidden="false" outlineLevel="0" max="3" min="3" style="2" width="16.72"/>
    <col collapsed="false" customWidth="true" hidden="false" outlineLevel="0" max="4" min="4" style="0" width="10.72"/>
    <col collapsed="false" customWidth="true" hidden="false" outlineLevel="0" max="5" min="5" style="3" width="10.72"/>
    <col collapsed="false" customWidth="true" hidden="false" outlineLevel="0" max="6" min="6" style="0" width="10.72"/>
    <col collapsed="false" customWidth="true" hidden="false" outlineLevel="0" max="7" min="7" style="0" width="2.72"/>
    <col collapsed="false" customWidth="true" hidden="true" outlineLevel="0" max="8" min="8" style="0" width="6"/>
    <col collapsed="false" customWidth="true" hidden="false" outlineLevel="0" max="65" min="9" style="0" width="2.72"/>
  </cols>
  <sheetData>
    <row r="1" customFormat="false" ht="90" hidden="false" customHeight="true" outlineLevel="0" collapsed="false">
      <c r="A1" s="4"/>
      <c r="B1" s="5" t="s">
        <v>0</v>
      </c>
      <c r="C1" s="6"/>
      <c r="D1" s="7"/>
      <c r="E1" s="8"/>
      <c r="F1" s="9"/>
      <c r="H1" s="7"/>
      <c r="I1" s="10" t="s">
        <v>1</v>
      </c>
      <c r="J1" s="10"/>
      <c r="K1" s="10"/>
      <c r="L1" s="10"/>
      <c r="M1" s="10"/>
      <c r="N1" s="10"/>
      <c r="O1" s="10"/>
      <c r="P1" s="11"/>
      <c r="Q1" s="12" t="n">
        <v>46048</v>
      </c>
      <c r="R1" s="12"/>
      <c r="S1" s="12"/>
      <c r="T1" s="12"/>
      <c r="U1" s="12"/>
      <c r="V1" s="12"/>
      <c r="W1" s="12"/>
      <c r="X1" s="12"/>
      <c r="Y1" s="12"/>
      <c r="Z1" s="12"/>
    </row>
    <row r="2" customFormat="false" ht="30" hidden="false" customHeight="true" outlineLevel="0" collapsed="false">
      <c r="B2" s="13" t="s">
        <v>2</v>
      </c>
      <c r="D2" s="14" t="s">
        <v>3</v>
      </c>
      <c r="F2" s="15"/>
      <c r="I2" s="10" t="s">
        <v>4</v>
      </c>
      <c r="J2" s="10"/>
      <c r="K2" s="10"/>
      <c r="L2" s="10"/>
      <c r="M2" s="10"/>
      <c r="N2" s="10"/>
      <c r="O2" s="10"/>
      <c r="P2" s="11"/>
      <c r="Q2" s="16" t="n">
        <v>7</v>
      </c>
      <c r="R2" s="16"/>
      <c r="S2" s="16"/>
      <c r="T2" s="16"/>
      <c r="U2" s="16"/>
      <c r="V2" s="16"/>
      <c r="W2" s="16"/>
      <c r="X2" s="16"/>
      <c r="Y2" s="16"/>
      <c r="Z2" s="16"/>
    </row>
    <row r="3" s="15" customFormat="true" ht="30" hidden="false" customHeight="true" outlineLevel="0" collapsed="false">
      <c r="A3" s="1"/>
      <c r="B3" s="17"/>
      <c r="C3" s="18"/>
      <c r="D3" s="19"/>
      <c r="E3" s="20"/>
    </row>
    <row r="4" s="15" customFormat="true" ht="30" hidden="false" customHeight="true" outlineLevel="0" collapsed="false">
      <c r="A4" s="4"/>
      <c r="B4" s="21"/>
      <c r="C4" s="18"/>
      <c r="E4" s="22"/>
      <c r="I4" s="23" t="n">
        <f aca="false">I5</f>
        <v>46090</v>
      </c>
      <c r="J4" s="23"/>
      <c r="K4" s="23"/>
      <c r="L4" s="23"/>
      <c r="M4" s="23"/>
      <c r="N4" s="23"/>
      <c r="O4" s="23"/>
      <c r="P4" s="24" t="n">
        <f aca="false">P5</f>
        <v>46097</v>
      </c>
      <c r="Q4" s="24"/>
      <c r="R4" s="24"/>
      <c r="S4" s="24"/>
      <c r="T4" s="24"/>
      <c r="U4" s="24"/>
      <c r="V4" s="24"/>
      <c r="W4" s="24" t="n">
        <f aca="false">W5</f>
        <v>46104</v>
      </c>
      <c r="X4" s="24"/>
      <c r="Y4" s="24"/>
      <c r="Z4" s="24"/>
      <c r="AA4" s="24"/>
      <c r="AB4" s="24"/>
      <c r="AC4" s="24"/>
      <c r="AD4" s="24" t="n">
        <f aca="false">AD5</f>
        <v>46111</v>
      </c>
      <c r="AE4" s="24"/>
      <c r="AF4" s="24"/>
      <c r="AG4" s="24"/>
      <c r="AH4" s="24"/>
      <c r="AI4" s="24"/>
      <c r="AJ4" s="24"/>
      <c r="AK4" s="24" t="n">
        <f aca="false">AK5</f>
        <v>46118</v>
      </c>
      <c r="AL4" s="24"/>
      <c r="AM4" s="24"/>
      <c r="AN4" s="24"/>
      <c r="AO4" s="24"/>
      <c r="AP4" s="24"/>
      <c r="AQ4" s="24"/>
      <c r="AR4" s="24" t="n">
        <f aca="false">AR5</f>
        <v>46125</v>
      </c>
      <c r="AS4" s="24"/>
      <c r="AT4" s="24"/>
      <c r="AU4" s="24"/>
      <c r="AV4" s="24"/>
      <c r="AW4" s="24"/>
      <c r="AX4" s="24"/>
      <c r="AY4" s="24" t="n">
        <f aca="false">AY5</f>
        <v>46132</v>
      </c>
      <c r="AZ4" s="24"/>
      <c r="BA4" s="24"/>
      <c r="BB4" s="24"/>
      <c r="BC4" s="24"/>
      <c r="BD4" s="24"/>
      <c r="BE4" s="24"/>
      <c r="BF4" s="25" t="n">
        <f aca="false">BF5</f>
        <v>46139</v>
      </c>
      <c r="BG4" s="25"/>
      <c r="BH4" s="25"/>
      <c r="BI4" s="25"/>
      <c r="BJ4" s="25"/>
      <c r="BK4" s="25"/>
      <c r="BL4" s="25"/>
    </row>
    <row r="5" s="15" customFormat="true" ht="15" hidden="false" customHeight="true" outlineLevel="0" collapsed="false">
      <c r="A5" s="26"/>
      <c r="B5" s="27" t="s">
        <v>5</v>
      </c>
      <c r="C5" s="28" t="s">
        <v>6</v>
      </c>
      <c r="D5" s="29" t="s">
        <v>7</v>
      </c>
      <c r="E5" s="29" t="s">
        <v>8</v>
      </c>
      <c r="F5" s="29" t="s">
        <v>9</v>
      </c>
      <c r="I5" s="30" t="n">
        <f aca="false">Project_Start-WEEKDAY(Project_Start,1)+2+7*(Display_Week-1)</f>
        <v>46090</v>
      </c>
      <c r="J5" s="30" t="n">
        <f aca="false">I5+1</f>
        <v>46091</v>
      </c>
      <c r="K5" s="30" t="n">
        <f aca="false">J5+1</f>
        <v>46092</v>
      </c>
      <c r="L5" s="30" t="n">
        <f aca="false">K5+1</f>
        <v>46093</v>
      </c>
      <c r="M5" s="30" t="n">
        <f aca="false">L5+1</f>
        <v>46094</v>
      </c>
      <c r="N5" s="30" t="n">
        <f aca="false">M5+1</f>
        <v>46095</v>
      </c>
      <c r="O5" s="31" t="n">
        <f aca="false">N5+1</f>
        <v>46096</v>
      </c>
      <c r="P5" s="32" t="n">
        <f aca="false">O5+1</f>
        <v>46097</v>
      </c>
      <c r="Q5" s="30" t="n">
        <f aca="false">P5+1</f>
        <v>46098</v>
      </c>
      <c r="R5" s="30" t="n">
        <f aca="false">Q5+1</f>
        <v>46099</v>
      </c>
      <c r="S5" s="30" t="n">
        <f aca="false">R5+1</f>
        <v>46100</v>
      </c>
      <c r="T5" s="30" t="n">
        <f aca="false">S5+1</f>
        <v>46101</v>
      </c>
      <c r="U5" s="30" t="n">
        <f aca="false">T5+1</f>
        <v>46102</v>
      </c>
      <c r="V5" s="31" t="n">
        <f aca="false">U5+1</f>
        <v>46103</v>
      </c>
      <c r="W5" s="32" t="n">
        <f aca="false">V5+1</f>
        <v>46104</v>
      </c>
      <c r="X5" s="30" t="n">
        <f aca="false">W5+1</f>
        <v>46105</v>
      </c>
      <c r="Y5" s="30" t="n">
        <f aca="false">X5+1</f>
        <v>46106</v>
      </c>
      <c r="Z5" s="30" t="n">
        <f aca="false">Y5+1</f>
        <v>46107</v>
      </c>
      <c r="AA5" s="30" t="n">
        <f aca="false">Z5+1</f>
        <v>46108</v>
      </c>
      <c r="AB5" s="30" t="n">
        <f aca="false">AA5+1</f>
        <v>46109</v>
      </c>
      <c r="AC5" s="31" t="n">
        <f aca="false">AB5+1</f>
        <v>46110</v>
      </c>
      <c r="AD5" s="32" t="n">
        <f aca="false">AC5+1</f>
        <v>46111</v>
      </c>
      <c r="AE5" s="30" t="n">
        <f aca="false">AD5+1</f>
        <v>46112</v>
      </c>
      <c r="AF5" s="30" t="n">
        <f aca="false">AE5+1</f>
        <v>46113</v>
      </c>
      <c r="AG5" s="30" t="n">
        <f aca="false">AF5+1</f>
        <v>46114</v>
      </c>
      <c r="AH5" s="30" t="n">
        <f aca="false">AG5+1</f>
        <v>46115</v>
      </c>
      <c r="AI5" s="30" t="n">
        <f aca="false">AH5+1</f>
        <v>46116</v>
      </c>
      <c r="AJ5" s="31" t="n">
        <f aca="false">AI5+1</f>
        <v>46117</v>
      </c>
      <c r="AK5" s="32" t="n">
        <f aca="false">AJ5+1</f>
        <v>46118</v>
      </c>
      <c r="AL5" s="30" t="n">
        <f aca="false">AK5+1</f>
        <v>46119</v>
      </c>
      <c r="AM5" s="30" t="n">
        <f aca="false">AL5+1</f>
        <v>46120</v>
      </c>
      <c r="AN5" s="30" t="n">
        <f aca="false">AM5+1</f>
        <v>46121</v>
      </c>
      <c r="AO5" s="30" t="n">
        <f aca="false">AN5+1</f>
        <v>46122</v>
      </c>
      <c r="AP5" s="30" t="n">
        <f aca="false">AO5+1</f>
        <v>46123</v>
      </c>
      <c r="AQ5" s="31" t="n">
        <f aca="false">AP5+1</f>
        <v>46124</v>
      </c>
      <c r="AR5" s="32" t="n">
        <f aca="false">AQ5+1</f>
        <v>46125</v>
      </c>
      <c r="AS5" s="30" t="n">
        <f aca="false">AR5+1</f>
        <v>46126</v>
      </c>
      <c r="AT5" s="30" t="n">
        <f aca="false">AS5+1</f>
        <v>46127</v>
      </c>
      <c r="AU5" s="30" t="n">
        <f aca="false">AT5+1</f>
        <v>46128</v>
      </c>
      <c r="AV5" s="30" t="n">
        <f aca="false">AU5+1</f>
        <v>46129</v>
      </c>
      <c r="AW5" s="30" t="n">
        <f aca="false">AV5+1</f>
        <v>46130</v>
      </c>
      <c r="AX5" s="31" t="n">
        <f aca="false">AW5+1</f>
        <v>46131</v>
      </c>
      <c r="AY5" s="32" t="n">
        <f aca="false">AX5+1</f>
        <v>46132</v>
      </c>
      <c r="AZ5" s="30" t="n">
        <f aca="false">AY5+1</f>
        <v>46133</v>
      </c>
      <c r="BA5" s="30" t="n">
        <f aca="false">AZ5+1</f>
        <v>46134</v>
      </c>
      <c r="BB5" s="30" t="n">
        <f aca="false">BA5+1</f>
        <v>46135</v>
      </c>
      <c r="BC5" s="30" t="n">
        <f aca="false">BB5+1</f>
        <v>46136</v>
      </c>
      <c r="BD5" s="30" t="n">
        <f aca="false">BC5+1</f>
        <v>46137</v>
      </c>
      <c r="BE5" s="31" t="n">
        <f aca="false">BD5+1</f>
        <v>46138</v>
      </c>
      <c r="BF5" s="32" t="n">
        <f aca="false">BE5+1</f>
        <v>46139</v>
      </c>
      <c r="BG5" s="30" t="n">
        <f aca="false">BF5+1</f>
        <v>46140</v>
      </c>
      <c r="BH5" s="30" t="n">
        <f aca="false">BG5+1</f>
        <v>46141</v>
      </c>
      <c r="BI5" s="30" t="n">
        <f aca="false">BH5+1</f>
        <v>46142</v>
      </c>
      <c r="BJ5" s="30" t="n">
        <f aca="false">BI5+1</f>
        <v>46143</v>
      </c>
      <c r="BK5" s="30" t="n">
        <f aca="false">BJ5+1</f>
        <v>46144</v>
      </c>
      <c r="BL5" s="30" t="n">
        <f aca="false">BK5+1</f>
        <v>46145</v>
      </c>
    </row>
    <row r="6" s="15" customFormat="true" ht="15" hidden="false" customHeight="true" outlineLevel="0" collapsed="false">
      <c r="A6" s="26"/>
      <c r="B6" s="27"/>
      <c r="C6" s="28"/>
      <c r="D6" s="29"/>
      <c r="E6" s="29"/>
      <c r="F6" s="29"/>
      <c r="I6" s="33" t="str">
        <f aca="false">LEFT(TEXT(I5,"ddd"),1)</f>
        <v>M</v>
      </c>
      <c r="J6" s="34" t="str">
        <f aca="false">LEFT(TEXT(J5,"ddd"),1)</f>
        <v>T</v>
      </c>
      <c r="K6" s="34" t="str">
        <f aca="false">LEFT(TEXT(K5,"ddd"),1)</f>
        <v>W</v>
      </c>
      <c r="L6" s="34" t="str">
        <f aca="false">LEFT(TEXT(L5,"ddd"),1)</f>
        <v>T</v>
      </c>
      <c r="M6" s="34" t="str">
        <f aca="false">LEFT(TEXT(M5,"ddd"),1)</f>
        <v>F</v>
      </c>
      <c r="N6" s="34" t="str">
        <f aca="false">LEFT(TEXT(N5,"ddd"),1)</f>
        <v>S</v>
      </c>
      <c r="O6" s="34" t="str">
        <f aca="false">LEFT(TEXT(O5,"ddd"),1)</f>
        <v>S</v>
      </c>
      <c r="P6" s="34" t="str">
        <f aca="false">LEFT(TEXT(P5,"ddd"),1)</f>
        <v>M</v>
      </c>
      <c r="Q6" s="34" t="str">
        <f aca="false">LEFT(TEXT(Q5,"ddd"),1)</f>
        <v>T</v>
      </c>
      <c r="R6" s="34" t="str">
        <f aca="false">LEFT(TEXT(R5,"ddd"),1)</f>
        <v>W</v>
      </c>
      <c r="S6" s="34" t="str">
        <f aca="false">LEFT(TEXT(S5,"ddd"),1)</f>
        <v>T</v>
      </c>
      <c r="T6" s="34" t="str">
        <f aca="false">LEFT(TEXT(T5,"ddd"),1)</f>
        <v>F</v>
      </c>
      <c r="U6" s="34" t="str">
        <f aca="false">LEFT(TEXT(U5,"ddd"),1)</f>
        <v>S</v>
      </c>
      <c r="V6" s="34" t="str">
        <f aca="false">LEFT(TEXT(V5,"ddd"),1)</f>
        <v>S</v>
      </c>
      <c r="W6" s="34" t="str">
        <f aca="false">LEFT(TEXT(W5,"ddd"),1)</f>
        <v>M</v>
      </c>
      <c r="X6" s="34" t="str">
        <f aca="false">LEFT(TEXT(X5,"ddd"),1)</f>
        <v>T</v>
      </c>
      <c r="Y6" s="34" t="str">
        <f aca="false">LEFT(TEXT(Y5,"ddd"),1)</f>
        <v>W</v>
      </c>
      <c r="Z6" s="34" t="str">
        <f aca="false">LEFT(TEXT(Z5,"ddd"),1)</f>
        <v>T</v>
      </c>
      <c r="AA6" s="34" t="str">
        <f aca="false">LEFT(TEXT(AA5,"ddd"),1)</f>
        <v>F</v>
      </c>
      <c r="AB6" s="34" t="str">
        <f aca="false">LEFT(TEXT(AB5,"ddd"),1)</f>
        <v>S</v>
      </c>
      <c r="AC6" s="34" t="str">
        <f aca="false">LEFT(TEXT(AC5,"ddd"),1)</f>
        <v>S</v>
      </c>
      <c r="AD6" s="34" t="str">
        <f aca="false">LEFT(TEXT(AD5,"ddd"),1)</f>
        <v>M</v>
      </c>
      <c r="AE6" s="34" t="str">
        <f aca="false">LEFT(TEXT(AE5,"ddd"),1)</f>
        <v>T</v>
      </c>
      <c r="AF6" s="34" t="str">
        <f aca="false">LEFT(TEXT(AF5,"ddd"),1)</f>
        <v>W</v>
      </c>
      <c r="AG6" s="34" t="str">
        <f aca="false">LEFT(TEXT(AG5,"ddd"),1)</f>
        <v>T</v>
      </c>
      <c r="AH6" s="34" t="str">
        <f aca="false">LEFT(TEXT(AH5,"ddd"),1)</f>
        <v>F</v>
      </c>
      <c r="AI6" s="34" t="str">
        <f aca="false">LEFT(TEXT(AI5,"ddd"),1)</f>
        <v>S</v>
      </c>
      <c r="AJ6" s="34" t="str">
        <f aca="false">LEFT(TEXT(AJ5,"ddd"),1)</f>
        <v>S</v>
      </c>
      <c r="AK6" s="34" t="str">
        <f aca="false">LEFT(TEXT(AK5,"ddd"),1)</f>
        <v>M</v>
      </c>
      <c r="AL6" s="34" t="str">
        <f aca="false">LEFT(TEXT(AL5,"ddd"),1)</f>
        <v>T</v>
      </c>
      <c r="AM6" s="34" t="str">
        <f aca="false">LEFT(TEXT(AM5,"ddd"),1)</f>
        <v>W</v>
      </c>
      <c r="AN6" s="34" t="str">
        <f aca="false">LEFT(TEXT(AN5,"ddd"),1)</f>
        <v>T</v>
      </c>
      <c r="AO6" s="34" t="str">
        <f aca="false">LEFT(TEXT(AO5,"ddd"),1)</f>
        <v>F</v>
      </c>
      <c r="AP6" s="34" t="str">
        <f aca="false">LEFT(TEXT(AP5,"ddd"),1)</f>
        <v>S</v>
      </c>
      <c r="AQ6" s="34" t="str">
        <f aca="false">LEFT(TEXT(AQ5,"ddd"),1)</f>
        <v>S</v>
      </c>
      <c r="AR6" s="34" t="str">
        <f aca="false">LEFT(TEXT(AR5,"ddd"),1)</f>
        <v>M</v>
      </c>
      <c r="AS6" s="34" t="str">
        <f aca="false">LEFT(TEXT(AS5,"ddd"),1)</f>
        <v>T</v>
      </c>
      <c r="AT6" s="34" t="str">
        <f aca="false">LEFT(TEXT(AT5,"ddd"),1)</f>
        <v>W</v>
      </c>
      <c r="AU6" s="34" t="str">
        <f aca="false">LEFT(TEXT(AU5,"ddd"),1)</f>
        <v>T</v>
      </c>
      <c r="AV6" s="34" t="str">
        <f aca="false">LEFT(TEXT(AV5,"ddd"),1)</f>
        <v>F</v>
      </c>
      <c r="AW6" s="34" t="str">
        <f aca="false">LEFT(TEXT(AW5,"ddd"),1)</f>
        <v>S</v>
      </c>
      <c r="AX6" s="34" t="str">
        <f aca="false">LEFT(TEXT(AX5,"ddd"),1)</f>
        <v>S</v>
      </c>
      <c r="AY6" s="34" t="str">
        <f aca="false">LEFT(TEXT(AY5,"ddd"),1)</f>
        <v>M</v>
      </c>
      <c r="AZ6" s="34" t="str">
        <f aca="false">LEFT(TEXT(AZ5,"ddd"),1)</f>
        <v>T</v>
      </c>
      <c r="BA6" s="34" t="str">
        <f aca="false">LEFT(TEXT(BA5,"ddd"),1)</f>
        <v>W</v>
      </c>
      <c r="BB6" s="34" t="str">
        <f aca="false">LEFT(TEXT(BB5,"ddd"),1)</f>
        <v>T</v>
      </c>
      <c r="BC6" s="34" t="str">
        <f aca="false">LEFT(TEXT(BC5,"ddd"),1)</f>
        <v>F</v>
      </c>
      <c r="BD6" s="34" t="str">
        <f aca="false">LEFT(TEXT(BD5,"ddd"),1)</f>
        <v>S</v>
      </c>
      <c r="BE6" s="34" t="str">
        <f aca="false">LEFT(TEXT(BE5,"ddd"),1)</f>
        <v>S</v>
      </c>
      <c r="BF6" s="34" t="str">
        <f aca="false">LEFT(TEXT(BF5,"ddd"),1)</f>
        <v>M</v>
      </c>
      <c r="BG6" s="34" t="str">
        <f aca="false">LEFT(TEXT(BG5,"ddd"),1)</f>
        <v>T</v>
      </c>
      <c r="BH6" s="34" t="str">
        <f aca="false">LEFT(TEXT(BH5,"ddd"),1)</f>
        <v>W</v>
      </c>
      <c r="BI6" s="34" t="str">
        <f aca="false">LEFT(TEXT(BI5,"ddd"),1)</f>
        <v>T</v>
      </c>
      <c r="BJ6" s="34" t="str">
        <f aca="false">LEFT(TEXT(BJ5,"ddd"),1)</f>
        <v>F</v>
      </c>
      <c r="BK6" s="34" t="str">
        <f aca="false">LEFT(TEXT(BK5,"ddd"),1)</f>
        <v>S</v>
      </c>
      <c r="BL6" s="35" t="str">
        <f aca="false">LEFT(TEXT(BL5,"ddd"),1)</f>
        <v>S</v>
      </c>
    </row>
    <row r="7" s="15" customFormat="true" ht="30" hidden="true" customHeight="true" outlineLevel="0" collapsed="false">
      <c r="A7" s="1" t="s">
        <v>10</v>
      </c>
      <c r="B7" s="36"/>
      <c r="C7" s="36"/>
      <c r="D7" s="37"/>
      <c r="E7" s="37"/>
      <c r="F7" s="37"/>
      <c r="H7" s="15" t="str">
        <f aca="false">IF(OR(ISBLANK(task_start),ISBLANK(task_end)),"",task_end-task_start+1)</f>
        <v/>
      </c>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row>
    <row r="8" s="47" customFormat="true" ht="30" hidden="false" customHeight="true" outlineLevel="0" collapsed="false">
      <c r="A8" s="4"/>
      <c r="B8" s="39" t="s">
        <v>11</v>
      </c>
      <c r="C8" s="40"/>
      <c r="D8" s="41"/>
      <c r="E8" s="42"/>
      <c r="F8" s="43"/>
      <c r="G8" s="44"/>
      <c r="H8" s="45" t="str">
        <f aca="false">IF(OR(ISBLANK(task_start),ISBLANK(task_end)),"",task_end-task_start+1)</f>
        <v/>
      </c>
      <c r="I8" s="46"/>
      <c r="J8" s="46"/>
      <c r="K8" s="46"/>
      <c r="L8" s="46"/>
      <c r="M8" s="46"/>
      <c r="N8" s="46"/>
      <c r="O8" s="46"/>
      <c r="P8" s="46"/>
      <c r="Q8" s="46"/>
      <c r="R8" s="46"/>
      <c r="S8" s="46"/>
      <c r="T8" s="46"/>
      <c r="U8" s="46"/>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row>
    <row r="9" s="47" customFormat="true" ht="30" hidden="false" customHeight="true" outlineLevel="0" collapsed="false">
      <c r="A9" s="4"/>
      <c r="B9" s="48" t="s">
        <v>12</v>
      </c>
      <c r="C9" s="49" t="s">
        <v>13</v>
      </c>
      <c r="D9" s="50" t="n">
        <v>1</v>
      </c>
      <c r="E9" s="51" t="n">
        <v>46055</v>
      </c>
      <c r="F9" s="51" t="n">
        <v>46055</v>
      </c>
      <c r="G9" s="44"/>
      <c r="H9" s="45" t="n">
        <f aca="false">IF(OR(ISBLANK(task_start),ISBLANK(task_end)),"",task_end-task_start+1)</f>
        <v>1</v>
      </c>
      <c r="I9" s="52"/>
      <c r="J9" s="52"/>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c r="AL9" s="52"/>
      <c r="AM9" s="52"/>
      <c r="AN9" s="52"/>
      <c r="AO9" s="52"/>
      <c r="AP9" s="52"/>
      <c r="AQ9" s="52"/>
      <c r="AR9" s="52"/>
      <c r="AS9" s="52"/>
      <c r="AT9" s="52"/>
      <c r="AU9" s="52"/>
      <c r="AV9" s="52"/>
      <c r="AW9" s="52"/>
      <c r="AX9" s="52"/>
      <c r="AY9" s="52"/>
      <c r="AZ9" s="52"/>
      <c r="BA9" s="52"/>
      <c r="BB9" s="52"/>
      <c r="BC9" s="52"/>
      <c r="BD9" s="52"/>
      <c r="BE9" s="52"/>
      <c r="BF9" s="52"/>
      <c r="BG9" s="52"/>
      <c r="BH9" s="52"/>
      <c r="BI9" s="52"/>
      <c r="BJ9" s="52"/>
      <c r="BK9" s="52"/>
      <c r="BL9" s="52"/>
    </row>
    <row r="10" s="47" customFormat="true" ht="30" hidden="false" customHeight="true" outlineLevel="0" collapsed="false">
      <c r="A10" s="4"/>
      <c r="B10" s="53" t="s">
        <v>14</v>
      </c>
      <c r="C10" s="54" t="s">
        <v>15</v>
      </c>
      <c r="D10" s="55" t="n">
        <v>1</v>
      </c>
      <c r="E10" s="56" t="n">
        <v>46048</v>
      </c>
      <c r="F10" s="56" t="n">
        <v>46061</v>
      </c>
      <c r="G10" s="44"/>
      <c r="H10" s="45" t="n">
        <f aca="false">IF(OR(ISBLANK(task_start),ISBLANK(task_end)),"",task_end-task_start+1)</f>
        <v>14</v>
      </c>
      <c r="I10" s="52"/>
      <c r="J10" s="52"/>
      <c r="K10" s="52"/>
      <c r="L10" s="52"/>
      <c r="M10" s="52"/>
      <c r="N10" s="52"/>
      <c r="O10" s="52"/>
      <c r="P10" s="52"/>
      <c r="Q10" s="52"/>
      <c r="R10" s="52"/>
      <c r="S10" s="52"/>
      <c r="T10" s="52"/>
      <c r="U10" s="57"/>
      <c r="V10" s="57"/>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row>
    <row r="11" s="47" customFormat="true" ht="30" hidden="false" customHeight="true" outlineLevel="0" collapsed="false">
      <c r="A11" s="1"/>
      <c r="B11" s="53" t="s">
        <v>16</v>
      </c>
      <c r="C11" s="54" t="s">
        <v>17</v>
      </c>
      <c r="D11" s="55" t="n">
        <v>1</v>
      </c>
      <c r="E11" s="56" t="n">
        <v>46056</v>
      </c>
      <c r="F11" s="56" t="n">
        <v>46056</v>
      </c>
      <c r="G11" s="44"/>
      <c r="H11" s="45" t="n">
        <f aca="false">IF(OR(ISBLANK(task_start),ISBLANK(task_end)),"",task_end-task_start+1)</f>
        <v>1</v>
      </c>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row>
    <row r="12" s="47" customFormat="true" ht="30" hidden="false" customHeight="true" outlineLevel="0" collapsed="false">
      <c r="A12" s="4"/>
      <c r="B12" s="58" t="s">
        <v>18</v>
      </c>
      <c r="C12" s="59"/>
      <c r="D12" s="60"/>
      <c r="E12" s="61" t="s">
        <v>19</v>
      </c>
      <c r="F12" s="62" t="s">
        <v>20</v>
      </c>
      <c r="G12" s="44"/>
      <c r="H12" s="45" t="e">
        <f aca="false">IF(OR(ISBLANK(task_start),ISBLANK(task_end)),"",task_end-task_start+1)</f>
        <v>#VALUE!</v>
      </c>
    </row>
    <row r="13" s="47" customFormat="true" ht="30" hidden="false" customHeight="true" outlineLevel="0" collapsed="false">
      <c r="A13" s="4"/>
      <c r="B13" s="63" t="s">
        <v>21</v>
      </c>
      <c r="C13" s="64" t="s">
        <v>22</v>
      </c>
      <c r="D13" s="65" t="n">
        <v>1</v>
      </c>
      <c r="E13" s="66" t="n">
        <v>46058</v>
      </c>
      <c r="F13" s="66" t="n">
        <v>46073</v>
      </c>
      <c r="G13" s="44"/>
      <c r="H13" s="45" t="n">
        <f aca="false">IF(OR(ISBLANK(task_start),ISBLANK(task_end)),"",task_end-task_start+1)</f>
        <v>16</v>
      </c>
      <c r="I13" s="52"/>
      <c r="J13" s="52"/>
      <c r="K13" s="52"/>
      <c r="L13" s="52"/>
      <c r="M13" s="52"/>
      <c r="N13" s="52"/>
      <c r="O13" s="52"/>
      <c r="P13" s="52"/>
      <c r="Q13" s="52"/>
      <c r="R13" s="52"/>
      <c r="S13" s="52"/>
      <c r="T13" s="52"/>
      <c r="U13" s="52"/>
      <c r="V13" s="52"/>
      <c r="W13" s="52"/>
      <c r="X13" s="52"/>
      <c r="Y13" s="52"/>
      <c r="Z13" s="52"/>
      <c r="AA13" s="52"/>
      <c r="AB13" s="52"/>
      <c r="AC13" s="52"/>
      <c r="AD13" s="52"/>
      <c r="AE13" s="52"/>
      <c r="AF13" s="52"/>
      <c r="AG13" s="52"/>
      <c r="AH13" s="52"/>
      <c r="AI13" s="52"/>
      <c r="AJ13" s="52"/>
      <c r="AK13" s="52"/>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row>
    <row r="14" s="47" customFormat="true" ht="30" hidden="false" customHeight="true" outlineLevel="0" collapsed="false">
      <c r="A14" s="1"/>
      <c r="B14" s="63" t="s">
        <v>23</v>
      </c>
      <c r="C14" s="64" t="s">
        <v>24</v>
      </c>
      <c r="D14" s="65" t="n">
        <v>1</v>
      </c>
      <c r="E14" s="66"/>
      <c r="F14" s="66"/>
      <c r="G14" s="44"/>
      <c r="H14" s="45" t="str">
        <f aca="false">IF(OR(ISBLANK(task_start),ISBLANK(task_end)),"",task_end-task_start+1)</f>
        <v/>
      </c>
      <c r="I14" s="52"/>
      <c r="J14" s="52"/>
      <c r="K14" s="52"/>
      <c r="L14" s="52"/>
      <c r="M14" s="52"/>
      <c r="N14" s="52"/>
      <c r="O14" s="52"/>
      <c r="P14" s="52"/>
      <c r="Q14" s="52"/>
      <c r="R14" s="52"/>
      <c r="S14" s="52"/>
      <c r="T14" s="52"/>
      <c r="U14" s="57"/>
      <c r="V14" s="57"/>
      <c r="W14" s="52"/>
      <c r="X14" s="52"/>
      <c r="Y14" s="52"/>
      <c r="Z14" s="52"/>
      <c r="AA14" s="52"/>
      <c r="AB14" s="52"/>
      <c r="AC14" s="52"/>
      <c r="AD14" s="52"/>
      <c r="AE14" s="52"/>
      <c r="AF14" s="52"/>
      <c r="AG14" s="52"/>
      <c r="AH14" s="52"/>
      <c r="AI14" s="52"/>
      <c r="AJ14" s="52"/>
      <c r="AK14" s="52"/>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row>
    <row r="15" s="47" customFormat="true" ht="30" hidden="false" customHeight="true" outlineLevel="0" collapsed="false">
      <c r="A15" s="1"/>
      <c r="B15" s="63" t="s">
        <v>25</v>
      </c>
      <c r="C15" s="64" t="s">
        <v>26</v>
      </c>
      <c r="D15" s="65" t="n">
        <v>1</v>
      </c>
      <c r="E15" s="66" t="n">
        <v>46058</v>
      </c>
      <c r="F15" s="66" t="n">
        <v>46065</v>
      </c>
      <c r="G15" s="44"/>
      <c r="H15" s="45" t="n">
        <f aca="false">IF(OR(ISBLANK(task_start),ISBLANK(task_end)),"",task_end-task_start+1)</f>
        <v>8</v>
      </c>
      <c r="I15" s="52"/>
      <c r="J15" s="52"/>
      <c r="K15" s="52"/>
      <c r="L15" s="52"/>
      <c r="M15" s="52"/>
      <c r="N15" s="52"/>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row>
    <row r="16" s="47" customFormat="true" ht="30" hidden="false" customHeight="true" outlineLevel="0" collapsed="false">
      <c r="A16" s="1"/>
      <c r="B16" s="63" t="s">
        <v>27</v>
      </c>
      <c r="C16" s="64" t="s">
        <v>28</v>
      </c>
      <c r="D16" s="65" t="n">
        <v>1</v>
      </c>
      <c r="E16" s="66"/>
      <c r="F16" s="66"/>
      <c r="G16" s="44"/>
      <c r="H16" s="45" t="str">
        <f aca="false">IF(OR(ISBLANK(task_start),ISBLANK(task_end)),"",task_end-task_start+1)</f>
        <v/>
      </c>
      <c r="I16" s="52"/>
      <c r="J16" s="52"/>
      <c r="K16" s="52"/>
      <c r="L16" s="52"/>
      <c r="M16" s="52"/>
      <c r="N16" s="52"/>
      <c r="O16" s="52"/>
      <c r="P16" s="52"/>
      <c r="Q16" s="52"/>
      <c r="R16" s="52"/>
      <c r="S16" s="52"/>
      <c r="T16" s="52"/>
      <c r="U16" s="52"/>
      <c r="V16" s="52"/>
      <c r="W16" s="52"/>
      <c r="X16" s="52"/>
      <c r="Y16" s="52"/>
      <c r="Z16" s="52"/>
      <c r="AA16" s="52"/>
      <c r="AB16" s="52"/>
      <c r="AC16" s="52"/>
      <c r="AD16" s="52"/>
      <c r="AE16" s="52"/>
      <c r="AF16" s="52"/>
      <c r="AG16" s="52"/>
      <c r="AH16" s="52"/>
      <c r="AI16" s="52"/>
      <c r="AJ16" s="52"/>
      <c r="AK16" s="52"/>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row>
    <row r="17" s="47" customFormat="true" ht="30" hidden="false" customHeight="true" outlineLevel="0" collapsed="false">
      <c r="A17" s="1"/>
      <c r="B17" s="63" t="s">
        <v>29</v>
      </c>
      <c r="C17" s="64" t="s">
        <v>30</v>
      </c>
      <c r="D17" s="65" t="n">
        <v>1</v>
      </c>
      <c r="E17" s="66"/>
      <c r="F17" s="66"/>
      <c r="G17" s="44"/>
      <c r="H17" s="45" t="str">
        <f aca="false">IF(OR(ISBLANK(task_start),ISBLANK(task_end)),"",task_end-task_start+1)</f>
        <v/>
      </c>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row>
    <row r="18" s="47" customFormat="true" ht="30" hidden="false" customHeight="true" outlineLevel="0" collapsed="false">
      <c r="A18" s="1"/>
      <c r="B18" s="63" t="s">
        <v>31</v>
      </c>
      <c r="C18" s="64" t="s">
        <v>32</v>
      </c>
      <c r="D18" s="65" t="n">
        <v>1</v>
      </c>
      <c r="E18" s="66"/>
      <c r="F18" s="66"/>
      <c r="G18" s="44"/>
      <c r="H18" s="45"/>
      <c r="I18" s="52"/>
      <c r="J18" s="52"/>
      <c r="K18" s="52"/>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row>
    <row r="19" s="47" customFormat="true" ht="30" hidden="false" customHeight="true" outlineLevel="0" collapsed="false">
      <c r="A19" s="1"/>
      <c r="B19" s="63" t="s">
        <v>33</v>
      </c>
      <c r="C19" s="64" t="s">
        <v>34</v>
      </c>
      <c r="D19" s="65" t="n">
        <v>1</v>
      </c>
      <c r="E19" s="66"/>
      <c r="F19" s="66"/>
      <c r="G19" s="44"/>
      <c r="H19" s="45"/>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row>
    <row r="20" s="47" customFormat="true" ht="30" hidden="false" customHeight="true" outlineLevel="0" collapsed="false">
      <c r="A20" s="1"/>
      <c r="B20" s="63" t="s">
        <v>35</v>
      </c>
      <c r="C20" s="64" t="s">
        <v>36</v>
      </c>
      <c r="D20" s="65" t="n">
        <v>1</v>
      </c>
      <c r="E20" s="66" t="n">
        <v>46078</v>
      </c>
      <c r="F20" s="66" t="s">
        <v>37</v>
      </c>
      <c r="G20" s="44"/>
      <c r="H20" s="45"/>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2"/>
      <c r="AR20" s="52"/>
      <c r="AS20" s="52"/>
      <c r="AT20" s="52"/>
      <c r="AU20" s="52"/>
      <c r="AV20" s="52"/>
      <c r="AW20" s="52"/>
      <c r="AX20" s="52"/>
      <c r="AY20" s="52"/>
      <c r="AZ20" s="52"/>
      <c r="BA20" s="52"/>
      <c r="BB20" s="52"/>
      <c r="BC20" s="52"/>
      <c r="BD20" s="52"/>
      <c r="BE20" s="52"/>
      <c r="BF20" s="52"/>
      <c r="BG20" s="52"/>
      <c r="BH20" s="52"/>
      <c r="BI20" s="52"/>
      <c r="BJ20" s="52"/>
      <c r="BK20" s="52"/>
      <c r="BL20" s="52"/>
    </row>
    <row r="21" s="47" customFormat="true" ht="30" hidden="false" customHeight="true" outlineLevel="0" collapsed="false">
      <c r="A21" s="1"/>
      <c r="B21" s="63" t="s">
        <v>38</v>
      </c>
      <c r="C21" s="64" t="s">
        <v>39</v>
      </c>
      <c r="D21" s="65" t="n">
        <v>1</v>
      </c>
      <c r="E21" s="66"/>
      <c r="F21" s="66"/>
      <c r="G21" s="44"/>
      <c r="H21" s="45"/>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row>
    <row r="22" s="47" customFormat="true" ht="30" hidden="false" customHeight="true" outlineLevel="0" collapsed="false">
      <c r="A22" s="1"/>
      <c r="B22" s="63" t="s">
        <v>40</v>
      </c>
      <c r="C22" s="64" t="s">
        <v>41</v>
      </c>
      <c r="D22" s="65" t="n">
        <v>1</v>
      </c>
      <c r="E22" s="66"/>
      <c r="F22" s="66"/>
      <c r="G22" s="44"/>
      <c r="H22" s="45"/>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row>
    <row r="23" s="47" customFormat="true" ht="30" hidden="false" customHeight="true" outlineLevel="0" collapsed="false">
      <c r="A23" s="1"/>
      <c r="B23" s="63" t="s">
        <v>42</v>
      </c>
      <c r="C23" s="64" t="s">
        <v>15</v>
      </c>
      <c r="D23" s="65" t="n">
        <v>1</v>
      </c>
      <c r="E23" s="66" t="n">
        <v>46083</v>
      </c>
      <c r="F23" s="66" t="n">
        <v>46089</v>
      </c>
      <c r="G23" s="44"/>
      <c r="H23" s="45"/>
      <c r="I23" s="52"/>
      <c r="J23" s="52"/>
      <c r="K23" s="52"/>
      <c r="L23" s="52"/>
      <c r="M23" s="52"/>
      <c r="N23" s="52"/>
      <c r="O23" s="52"/>
      <c r="P23" s="52"/>
      <c r="Q23" s="52"/>
      <c r="R23" s="52"/>
      <c r="S23" s="52"/>
      <c r="T23" s="52"/>
      <c r="U23" s="52"/>
      <c r="V23" s="52"/>
      <c r="W23" s="52"/>
      <c r="X23" s="52"/>
      <c r="Y23" s="52"/>
      <c r="Z23" s="52"/>
      <c r="AA23" s="52"/>
      <c r="AB23" s="52"/>
      <c r="AC23" s="52"/>
      <c r="AD23" s="52"/>
      <c r="AE23" s="52"/>
      <c r="AF23" s="52"/>
      <c r="AG23" s="52"/>
      <c r="AH23" s="52"/>
      <c r="AI23" s="52"/>
      <c r="AJ23" s="52"/>
      <c r="AK23" s="52"/>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row>
    <row r="24" s="47" customFormat="true" ht="30" hidden="false" customHeight="true" outlineLevel="0" collapsed="false">
      <c r="A24" s="1"/>
      <c r="B24" s="67" t="s">
        <v>43</v>
      </c>
      <c r="C24" s="68"/>
      <c r="D24" s="69"/>
      <c r="E24" s="70" t="s">
        <v>44</v>
      </c>
      <c r="F24" s="71" t="s">
        <v>45</v>
      </c>
      <c r="G24" s="44"/>
      <c r="H24" s="45" t="e">
        <f aca="false">IF(OR(ISBLANK(task_start),ISBLANK(task_end)),"",task_end-task_start+1)</f>
        <v>#VALUE!</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row>
    <row r="25" s="47" customFormat="true" ht="30" hidden="false" customHeight="true" outlineLevel="0" collapsed="false">
      <c r="A25" s="1"/>
      <c r="B25" s="73" t="s">
        <v>46</v>
      </c>
      <c r="C25" s="74"/>
      <c r="D25" s="75"/>
      <c r="E25" s="76" t="n">
        <v>46090</v>
      </c>
      <c r="F25" s="76" t="n">
        <v>46094</v>
      </c>
      <c r="G25" s="44"/>
      <c r="H25" s="45" t="s">
        <v>47</v>
      </c>
      <c r="I25" s="52"/>
      <c r="J25" s="52"/>
      <c r="K25" s="52"/>
      <c r="L25" s="52"/>
      <c r="M25" s="52"/>
      <c r="N25" s="52"/>
      <c r="O25" s="52"/>
      <c r="P25" s="52"/>
      <c r="Q25" s="52"/>
      <c r="R25" s="52"/>
      <c r="S25" s="52"/>
      <c r="T25" s="52"/>
      <c r="U25" s="52"/>
      <c r="V25" s="52"/>
      <c r="W25" s="52"/>
      <c r="X25" s="52"/>
      <c r="Y25" s="52"/>
      <c r="Z25" s="52"/>
      <c r="AA25" s="52"/>
      <c r="AB25" s="52"/>
      <c r="AC25" s="52"/>
      <c r="AD25" s="52"/>
      <c r="AE25" s="52"/>
      <c r="AF25" s="52"/>
      <c r="AG25" s="52"/>
      <c r="AH25" s="52"/>
      <c r="AI25" s="52"/>
      <c r="AJ25" s="52"/>
      <c r="AK25" s="52"/>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row>
    <row r="26" s="47" customFormat="true" ht="30" hidden="false" customHeight="true" outlineLevel="0" collapsed="false">
      <c r="A26" s="1"/>
      <c r="B26" s="77" t="s">
        <v>48</v>
      </c>
      <c r="C26" s="78" t="s">
        <v>49</v>
      </c>
      <c r="D26" s="79" t="n">
        <v>1</v>
      </c>
      <c r="E26" s="80"/>
      <c r="F26" s="80"/>
      <c r="G26" s="44"/>
      <c r="H26" s="45" t="s">
        <v>47</v>
      </c>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row>
    <row r="27" s="47" customFormat="true" ht="30" hidden="false" customHeight="true" outlineLevel="0" collapsed="false">
      <c r="A27" s="1"/>
      <c r="B27" s="77" t="s">
        <v>50</v>
      </c>
      <c r="C27" s="78" t="s">
        <v>51</v>
      </c>
      <c r="D27" s="79" t="n">
        <v>1</v>
      </c>
      <c r="E27" s="80"/>
      <c r="F27" s="80"/>
      <c r="G27" s="44"/>
      <c r="H27" s="45" t="s">
        <v>47</v>
      </c>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row>
    <row r="28" s="47" customFormat="true" ht="30" hidden="false" customHeight="true" outlineLevel="0" collapsed="false">
      <c r="A28" s="1"/>
      <c r="B28" s="73" t="s">
        <v>52</v>
      </c>
      <c r="C28" s="74"/>
      <c r="D28" s="75"/>
      <c r="E28" s="76" t="n">
        <v>46090</v>
      </c>
      <c r="F28" s="76" t="n">
        <v>46131</v>
      </c>
      <c r="G28" s="44"/>
      <c r="H28" s="45" t="s">
        <v>47</v>
      </c>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row>
    <row r="29" s="47" customFormat="true" ht="30" hidden="false" customHeight="true" outlineLevel="0" collapsed="false">
      <c r="A29" s="1"/>
      <c r="B29" s="77" t="s">
        <v>53</v>
      </c>
      <c r="C29" s="78" t="s">
        <v>39</v>
      </c>
      <c r="D29" s="79"/>
      <c r="E29" s="80"/>
      <c r="F29" s="80"/>
      <c r="G29" s="44"/>
      <c r="H29" s="45" t="s">
        <v>47</v>
      </c>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row>
    <row r="30" s="47" customFormat="true" ht="30" hidden="false" customHeight="true" outlineLevel="0" collapsed="false">
      <c r="A30" s="1"/>
      <c r="B30" s="77" t="s">
        <v>54</v>
      </c>
      <c r="C30" s="78" t="s">
        <v>39</v>
      </c>
      <c r="D30" s="79"/>
      <c r="E30" s="80"/>
      <c r="F30" s="80"/>
      <c r="G30" s="44"/>
      <c r="H30" s="45"/>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row>
    <row r="31" s="47" customFormat="true" ht="30" hidden="false" customHeight="true" outlineLevel="0" collapsed="false">
      <c r="A31" s="1"/>
      <c r="B31" s="77" t="s">
        <v>55</v>
      </c>
      <c r="C31" s="78" t="s">
        <v>56</v>
      </c>
      <c r="D31" s="79"/>
      <c r="E31" s="80"/>
      <c r="F31" s="80"/>
      <c r="G31" s="44"/>
      <c r="H31" s="45"/>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row>
    <row r="32" s="47" customFormat="true" ht="30" hidden="false" customHeight="true" outlineLevel="0" collapsed="false">
      <c r="A32" s="1"/>
      <c r="B32" s="77" t="s">
        <v>57</v>
      </c>
      <c r="C32" s="78" t="s">
        <v>56</v>
      </c>
      <c r="D32" s="79"/>
      <c r="E32" s="80"/>
      <c r="F32" s="80"/>
      <c r="G32" s="44"/>
      <c r="H32" s="45"/>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row>
    <row r="33" s="47" customFormat="true" ht="30" hidden="false" customHeight="true" outlineLevel="0" collapsed="false">
      <c r="A33" s="1"/>
      <c r="B33" s="73" t="s">
        <v>58</v>
      </c>
      <c r="C33" s="74"/>
      <c r="D33" s="75"/>
      <c r="E33" s="76" t="n">
        <v>46090</v>
      </c>
      <c r="F33" s="76" t="n">
        <v>46131</v>
      </c>
      <c r="G33" s="44"/>
      <c r="H33" s="45"/>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row>
    <row r="34" s="47" customFormat="true" ht="30" hidden="false" customHeight="true" outlineLevel="0" collapsed="false">
      <c r="A34" s="1"/>
      <c r="B34" s="77" t="s">
        <v>59</v>
      </c>
      <c r="C34" s="78" t="s">
        <v>41</v>
      </c>
      <c r="D34" s="79" t="n">
        <v>1</v>
      </c>
      <c r="E34" s="80"/>
      <c r="F34" s="80"/>
      <c r="G34" s="44"/>
      <c r="H34" s="45"/>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row>
    <row r="35" s="47" customFormat="true" ht="30" hidden="false" customHeight="true" outlineLevel="0" collapsed="false">
      <c r="A35" s="1"/>
      <c r="B35" s="77" t="s">
        <v>60</v>
      </c>
      <c r="C35" s="78" t="s">
        <v>41</v>
      </c>
      <c r="D35" s="79" t="n">
        <v>1</v>
      </c>
      <c r="E35" s="80"/>
      <c r="F35" s="80"/>
      <c r="G35" s="44"/>
      <c r="H35" s="45"/>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row>
    <row r="36" s="47" customFormat="true" ht="30" hidden="false" customHeight="true" outlineLevel="0" collapsed="false">
      <c r="A36" s="1"/>
      <c r="B36" s="77" t="s">
        <v>61</v>
      </c>
      <c r="C36" s="78" t="s">
        <v>41</v>
      </c>
      <c r="D36" s="79" t="n">
        <v>1</v>
      </c>
      <c r="E36" s="80"/>
      <c r="F36" s="80"/>
      <c r="G36" s="44"/>
      <c r="H36" s="45"/>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row>
    <row r="37" s="47" customFormat="true" ht="30" hidden="false" customHeight="true" outlineLevel="0" collapsed="false">
      <c r="A37" s="1"/>
      <c r="B37" s="77" t="s">
        <v>62</v>
      </c>
      <c r="C37" s="78" t="s">
        <v>41</v>
      </c>
      <c r="D37" s="79" t="n">
        <v>1</v>
      </c>
      <c r="E37" s="80"/>
      <c r="F37" s="80"/>
      <c r="G37" s="44"/>
      <c r="H37" s="45"/>
      <c r="I37" s="52"/>
      <c r="J37" s="52"/>
      <c r="K37" s="52"/>
      <c r="L37" s="52"/>
      <c r="M37" s="52"/>
      <c r="N37" s="52"/>
      <c r="O37" s="52"/>
      <c r="P37" s="52"/>
      <c r="Q37" s="52"/>
      <c r="R37" s="52"/>
      <c r="S37" s="52"/>
      <c r="T37" s="52"/>
      <c r="U37" s="52"/>
      <c r="V37" s="52"/>
      <c r="W37" s="52"/>
      <c r="X37" s="52"/>
      <c r="Y37" s="52"/>
      <c r="Z37" s="52"/>
      <c r="AA37" s="52"/>
      <c r="AB37" s="52"/>
      <c r="AC37" s="52"/>
      <c r="AD37" s="52"/>
      <c r="AE37" s="52"/>
      <c r="AF37" s="52"/>
      <c r="AG37" s="52"/>
      <c r="AH37" s="52"/>
      <c r="AI37" s="52"/>
      <c r="AJ37" s="52"/>
      <c r="AK37" s="52"/>
      <c r="AL37" s="52"/>
      <c r="AM37" s="52"/>
      <c r="AN37" s="52"/>
      <c r="AO37" s="52"/>
      <c r="AP37" s="52"/>
      <c r="AQ37" s="52"/>
      <c r="AR37" s="52"/>
      <c r="AS37" s="52"/>
      <c r="AT37" s="52"/>
      <c r="AU37" s="52"/>
      <c r="AV37" s="52"/>
      <c r="AW37" s="52"/>
      <c r="AX37" s="52"/>
      <c r="AY37" s="52"/>
      <c r="AZ37" s="52"/>
      <c r="BA37" s="52"/>
      <c r="BB37" s="52"/>
      <c r="BC37" s="52"/>
      <c r="BD37" s="52"/>
      <c r="BE37" s="52"/>
      <c r="BF37" s="52"/>
      <c r="BG37" s="52"/>
      <c r="BH37" s="52"/>
      <c r="BI37" s="52"/>
      <c r="BJ37" s="52"/>
      <c r="BK37" s="52"/>
      <c r="BL37" s="52"/>
    </row>
    <row r="38" s="47" customFormat="true" ht="30" hidden="false" customHeight="true" outlineLevel="0" collapsed="false">
      <c r="A38" s="1"/>
      <c r="B38" s="77" t="s">
        <v>63</v>
      </c>
      <c r="C38" s="78" t="s">
        <v>41</v>
      </c>
      <c r="D38" s="79"/>
      <c r="E38" s="80"/>
      <c r="F38" s="80"/>
      <c r="G38" s="44"/>
      <c r="H38" s="45"/>
      <c r="I38" s="52"/>
      <c r="J38" s="52"/>
      <c r="K38" s="52"/>
      <c r="L38" s="52"/>
      <c r="M38" s="52"/>
      <c r="N38" s="52"/>
      <c r="O38" s="52"/>
      <c r="P38" s="52"/>
      <c r="Q38" s="52"/>
      <c r="R38" s="52"/>
      <c r="S38" s="52"/>
      <c r="T38" s="52"/>
      <c r="U38" s="52"/>
      <c r="V38" s="52"/>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row>
    <row r="39" s="47" customFormat="true" ht="30" hidden="false" customHeight="true" outlineLevel="0" collapsed="false">
      <c r="A39" s="1"/>
      <c r="B39" s="77" t="s">
        <v>64</v>
      </c>
      <c r="C39" s="78" t="s">
        <v>41</v>
      </c>
      <c r="D39" s="79" t="n">
        <v>1</v>
      </c>
      <c r="E39" s="80"/>
      <c r="F39" s="80"/>
      <c r="G39" s="44"/>
      <c r="H39" s="45"/>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row>
    <row r="40" s="47" customFormat="true" ht="30" hidden="false" customHeight="true" outlineLevel="0" collapsed="false">
      <c r="A40" s="1"/>
      <c r="B40" s="77" t="s">
        <v>65</v>
      </c>
      <c r="C40" s="78" t="s">
        <v>41</v>
      </c>
      <c r="D40" s="79" t="n">
        <v>1</v>
      </c>
      <c r="E40" s="80"/>
      <c r="F40" s="80"/>
      <c r="G40" s="44"/>
      <c r="H40" s="45"/>
      <c r="I40" s="52"/>
      <c r="J40" s="52"/>
      <c r="K40" s="52"/>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row>
    <row r="41" s="47" customFormat="true" ht="30" hidden="false" customHeight="true" outlineLevel="0" collapsed="false">
      <c r="A41" s="1"/>
      <c r="B41" s="77" t="s">
        <v>66</v>
      </c>
      <c r="C41" s="78" t="s">
        <v>41</v>
      </c>
      <c r="D41" s="79" t="n">
        <v>1</v>
      </c>
      <c r="E41" s="80"/>
      <c r="F41" s="80"/>
      <c r="G41" s="44"/>
      <c r="H41" s="45"/>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row>
    <row r="42" s="47" customFormat="true" ht="30" hidden="false" customHeight="true" outlineLevel="0" collapsed="false">
      <c r="A42" s="1"/>
      <c r="B42" s="77" t="s">
        <v>67</v>
      </c>
      <c r="C42" s="78" t="s">
        <v>41</v>
      </c>
      <c r="D42" s="79" t="n">
        <v>1</v>
      </c>
      <c r="E42" s="80"/>
      <c r="F42" s="80"/>
      <c r="G42" s="44"/>
      <c r="H42" s="45"/>
      <c r="I42" s="52"/>
      <c r="J42" s="52"/>
      <c r="K42" s="52"/>
      <c r="L42" s="52"/>
      <c r="M42" s="52"/>
      <c r="N42" s="52"/>
      <c r="O42" s="52"/>
      <c r="P42" s="52"/>
      <c r="Q42" s="52"/>
      <c r="R42" s="52"/>
      <c r="S42" s="52"/>
      <c r="T42" s="52"/>
      <c r="U42" s="52"/>
      <c r="V42" s="52"/>
      <c r="W42" s="52"/>
      <c r="X42" s="52"/>
      <c r="Y42" s="52"/>
      <c r="Z42" s="52"/>
      <c r="AA42" s="52"/>
      <c r="AB42" s="52"/>
      <c r="AC42" s="52"/>
      <c r="AD42" s="52"/>
      <c r="AE42" s="52"/>
      <c r="AF42" s="52"/>
      <c r="AG42" s="52"/>
      <c r="AH42" s="52"/>
      <c r="AI42" s="52"/>
      <c r="AJ42" s="52"/>
      <c r="AK42" s="52"/>
      <c r="AL42" s="52"/>
      <c r="AM42" s="52"/>
      <c r="AN42" s="52"/>
      <c r="AO42" s="52"/>
      <c r="AP42" s="52"/>
      <c r="AQ42" s="52"/>
      <c r="AR42" s="52"/>
      <c r="AS42" s="52"/>
      <c r="AT42" s="52"/>
      <c r="AU42" s="52"/>
      <c r="AV42" s="52"/>
      <c r="AW42" s="52"/>
      <c r="AX42" s="52"/>
      <c r="AY42" s="52"/>
      <c r="AZ42" s="52"/>
      <c r="BA42" s="52"/>
      <c r="BB42" s="52"/>
      <c r="BC42" s="52"/>
      <c r="BD42" s="52"/>
      <c r="BE42" s="52"/>
      <c r="BF42" s="52"/>
      <c r="BG42" s="52"/>
      <c r="BH42" s="52"/>
      <c r="BI42" s="52"/>
      <c r="BJ42" s="52"/>
      <c r="BK42" s="52"/>
      <c r="BL42" s="52"/>
    </row>
    <row r="43" s="47" customFormat="true" ht="30" hidden="false" customHeight="true" outlineLevel="0" collapsed="false">
      <c r="A43" s="1"/>
      <c r="B43" s="77" t="s">
        <v>68</v>
      </c>
      <c r="C43" s="78" t="s">
        <v>41</v>
      </c>
      <c r="D43" s="79" t="n">
        <v>1</v>
      </c>
      <c r="E43" s="80"/>
      <c r="F43" s="80"/>
      <c r="G43" s="44"/>
      <c r="H43" s="45"/>
      <c r="I43" s="52"/>
      <c r="J43" s="52"/>
      <c r="K43" s="52"/>
      <c r="L43" s="52"/>
      <c r="M43" s="52"/>
      <c r="N43" s="52"/>
      <c r="O43" s="52"/>
      <c r="P43" s="52"/>
      <c r="Q43" s="52"/>
      <c r="R43" s="52"/>
      <c r="S43" s="52"/>
      <c r="T43" s="52"/>
      <c r="U43" s="52"/>
      <c r="V43" s="52"/>
      <c r="W43" s="52"/>
      <c r="X43" s="52"/>
      <c r="Y43" s="52"/>
      <c r="Z43" s="52"/>
      <c r="AA43" s="52"/>
      <c r="AB43" s="52"/>
      <c r="AC43" s="52"/>
      <c r="AD43" s="52"/>
      <c r="AE43" s="52"/>
      <c r="AF43" s="52"/>
      <c r="AG43" s="52"/>
      <c r="AH43" s="52"/>
      <c r="AI43" s="52"/>
      <c r="AJ43" s="52"/>
      <c r="AK43" s="52"/>
      <c r="AL43" s="52"/>
      <c r="AM43" s="52"/>
      <c r="AN43" s="52"/>
      <c r="AO43" s="52"/>
      <c r="AP43" s="52"/>
      <c r="AQ43" s="52"/>
      <c r="AR43" s="52"/>
      <c r="AS43" s="52"/>
      <c r="AT43" s="52"/>
      <c r="AU43" s="52"/>
      <c r="AV43" s="52"/>
      <c r="AW43" s="52"/>
      <c r="AX43" s="52"/>
      <c r="AY43" s="52"/>
      <c r="AZ43" s="52"/>
      <c r="BA43" s="52"/>
      <c r="BB43" s="52"/>
      <c r="BC43" s="52"/>
      <c r="BD43" s="52"/>
      <c r="BE43" s="52"/>
      <c r="BF43" s="52"/>
      <c r="BG43" s="52"/>
      <c r="BH43" s="52"/>
      <c r="BI43" s="52"/>
      <c r="BJ43" s="52"/>
      <c r="BK43" s="52"/>
      <c r="BL43" s="52"/>
    </row>
    <row r="44" s="47" customFormat="true" ht="30" hidden="false" customHeight="true" outlineLevel="0" collapsed="false">
      <c r="A44" s="1"/>
      <c r="B44" s="77" t="s">
        <v>69</v>
      </c>
      <c r="C44" s="78" t="s">
        <v>41</v>
      </c>
      <c r="D44" s="79" t="n">
        <v>1</v>
      </c>
      <c r="E44" s="80"/>
      <c r="F44" s="80"/>
      <c r="G44" s="44"/>
      <c r="H44" s="45"/>
      <c r="I44" s="52"/>
      <c r="J44" s="52"/>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row>
    <row r="45" s="47" customFormat="true" ht="30" hidden="false" customHeight="true" outlineLevel="0" collapsed="false">
      <c r="A45" s="1"/>
      <c r="B45" s="77" t="s">
        <v>70</v>
      </c>
      <c r="C45" s="78" t="s">
        <v>41</v>
      </c>
      <c r="D45" s="79" t="n">
        <v>1</v>
      </c>
      <c r="E45" s="80"/>
      <c r="F45" s="80"/>
      <c r="G45" s="44"/>
      <c r="H45" s="45"/>
      <c r="I45" s="52"/>
      <c r="J45" s="52"/>
      <c r="K45" s="52"/>
      <c r="L45" s="52"/>
      <c r="M45" s="52"/>
      <c r="N45" s="52"/>
      <c r="O45" s="52"/>
      <c r="P45" s="52"/>
      <c r="Q45" s="52"/>
      <c r="R45" s="52"/>
      <c r="S45" s="52"/>
      <c r="T45" s="52"/>
      <c r="U45" s="52"/>
      <c r="V45" s="52"/>
      <c r="W45" s="52"/>
      <c r="X45" s="52"/>
      <c r="Y45" s="52"/>
      <c r="Z45" s="52"/>
      <c r="AA45" s="52"/>
      <c r="AB45" s="52"/>
      <c r="AC45" s="52"/>
      <c r="AD45" s="52"/>
      <c r="AE45" s="52"/>
      <c r="AF45" s="52"/>
      <c r="AG45" s="52"/>
      <c r="AH45" s="52"/>
      <c r="AI45" s="52"/>
      <c r="AJ45" s="52"/>
      <c r="AK45" s="52"/>
      <c r="AL45" s="52"/>
      <c r="AM45" s="52"/>
      <c r="AN45" s="52"/>
      <c r="AO45" s="52"/>
      <c r="AP45" s="52"/>
      <c r="AQ45" s="52"/>
      <c r="AR45" s="52"/>
      <c r="AS45" s="52"/>
      <c r="AT45" s="52"/>
      <c r="AU45" s="52"/>
      <c r="AV45" s="52"/>
      <c r="AW45" s="52"/>
      <c r="AX45" s="52"/>
      <c r="AY45" s="52"/>
      <c r="AZ45" s="52"/>
      <c r="BA45" s="52"/>
      <c r="BB45" s="52"/>
      <c r="BC45" s="52"/>
      <c r="BD45" s="52"/>
      <c r="BE45" s="52"/>
      <c r="BF45" s="52"/>
      <c r="BG45" s="52"/>
      <c r="BH45" s="52"/>
      <c r="BI45" s="52"/>
      <c r="BJ45" s="52"/>
      <c r="BK45" s="52"/>
      <c r="BL45" s="52"/>
    </row>
    <row r="46" s="47" customFormat="true" ht="30" hidden="false" customHeight="true" outlineLevel="0" collapsed="false">
      <c r="A46" s="1"/>
      <c r="B46" s="73" t="s">
        <v>71</v>
      </c>
      <c r="C46" s="74"/>
      <c r="D46" s="75"/>
      <c r="E46" s="76" t="n">
        <v>46090</v>
      </c>
      <c r="F46" s="76" t="n">
        <v>46131</v>
      </c>
      <c r="G46" s="44"/>
      <c r="H46" s="45"/>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2"/>
      <c r="AV46" s="52"/>
      <c r="AW46" s="52"/>
      <c r="AX46" s="52"/>
      <c r="AY46" s="52"/>
      <c r="AZ46" s="52"/>
      <c r="BA46" s="52"/>
      <c r="BB46" s="52"/>
      <c r="BC46" s="52"/>
      <c r="BD46" s="52"/>
      <c r="BE46" s="52"/>
      <c r="BF46" s="52"/>
      <c r="BG46" s="52"/>
      <c r="BH46" s="52"/>
      <c r="BI46" s="52"/>
      <c r="BJ46" s="52"/>
      <c r="BK46" s="52"/>
      <c r="BL46" s="52"/>
    </row>
    <row r="47" s="47" customFormat="true" ht="30" hidden="false" customHeight="true" outlineLevel="0" collapsed="false">
      <c r="A47" s="1"/>
      <c r="B47" s="77" t="s">
        <v>59</v>
      </c>
      <c r="C47" s="78" t="s">
        <v>72</v>
      </c>
      <c r="D47" s="79" t="n">
        <v>1</v>
      </c>
      <c r="E47" s="80"/>
      <c r="F47" s="80"/>
      <c r="G47" s="44"/>
      <c r="H47" s="45"/>
      <c r="I47" s="52"/>
      <c r="J47" s="52"/>
      <c r="K47" s="52"/>
      <c r="L47" s="52"/>
      <c r="M47" s="52"/>
      <c r="N47" s="52"/>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row>
    <row r="48" s="47" customFormat="true" ht="30" hidden="false" customHeight="true" outlineLevel="0" collapsed="false">
      <c r="A48" s="1"/>
      <c r="B48" s="77" t="s">
        <v>60</v>
      </c>
      <c r="C48" s="78" t="s">
        <v>72</v>
      </c>
      <c r="D48" s="79" t="n">
        <v>1</v>
      </c>
      <c r="E48" s="80"/>
      <c r="F48" s="80"/>
      <c r="G48" s="44"/>
      <c r="H48" s="45"/>
      <c r="I48" s="52"/>
      <c r="J48" s="52"/>
      <c r="K48" s="52"/>
      <c r="L48" s="52"/>
      <c r="M48" s="52"/>
      <c r="N48" s="52"/>
      <c r="O48" s="52"/>
      <c r="P48" s="52"/>
      <c r="Q48" s="52"/>
      <c r="R48" s="52"/>
      <c r="S48" s="52"/>
      <c r="T48" s="52"/>
      <c r="U48" s="52"/>
      <c r="V48" s="52"/>
      <c r="W48" s="52"/>
      <c r="X48" s="52"/>
      <c r="Y48" s="52"/>
      <c r="Z48" s="52"/>
      <c r="AA48" s="52"/>
      <c r="AB48" s="52"/>
      <c r="AC48" s="52"/>
      <c r="AD48" s="52"/>
      <c r="AE48" s="52"/>
      <c r="AF48" s="52"/>
      <c r="AG48" s="52"/>
      <c r="AH48" s="52"/>
      <c r="AI48" s="52"/>
      <c r="AJ48" s="52"/>
      <c r="AK48" s="52"/>
      <c r="AL48" s="52"/>
      <c r="AM48" s="52"/>
      <c r="AN48" s="52"/>
      <c r="AO48" s="52"/>
      <c r="AP48" s="52"/>
      <c r="AQ48" s="52"/>
      <c r="AR48" s="52"/>
      <c r="AS48" s="52"/>
      <c r="AT48" s="52"/>
      <c r="AU48" s="52"/>
      <c r="AV48" s="52"/>
      <c r="AW48" s="52"/>
      <c r="AX48" s="52"/>
      <c r="AY48" s="52"/>
      <c r="AZ48" s="52"/>
      <c r="BA48" s="52"/>
      <c r="BB48" s="52"/>
      <c r="BC48" s="52"/>
      <c r="BD48" s="52"/>
      <c r="BE48" s="52"/>
      <c r="BF48" s="52"/>
      <c r="BG48" s="52"/>
      <c r="BH48" s="52"/>
      <c r="BI48" s="52"/>
      <c r="BJ48" s="52"/>
      <c r="BK48" s="52"/>
      <c r="BL48" s="52"/>
    </row>
    <row r="49" s="47" customFormat="true" ht="30" hidden="false" customHeight="true" outlineLevel="0" collapsed="false">
      <c r="A49" s="1"/>
      <c r="B49" s="77" t="s">
        <v>73</v>
      </c>
      <c r="C49" s="78" t="s">
        <v>72</v>
      </c>
      <c r="D49" s="79"/>
      <c r="E49" s="80"/>
      <c r="F49" s="80"/>
      <c r="G49" s="44"/>
      <c r="H49" s="45"/>
      <c r="I49" s="52"/>
      <c r="J49" s="52"/>
      <c r="K49" s="52"/>
      <c r="L49" s="52"/>
      <c r="M49" s="52"/>
      <c r="N49" s="52"/>
      <c r="O49" s="52"/>
      <c r="P49" s="52"/>
      <c r="Q49" s="52"/>
      <c r="R49" s="52"/>
      <c r="S49" s="52"/>
      <c r="T49" s="52"/>
      <c r="U49" s="52"/>
      <c r="V49" s="52"/>
      <c r="W49" s="52"/>
      <c r="X49" s="52"/>
      <c r="Y49" s="52"/>
      <c r="Z49" s="52"/>
      <c r="AA49" s="52"/>
      <c r="AB49" s="52"/>
      <c r="AC49" s="52"/>
      <c r="AD49" s="52"/>
      <c r="AE49" s="52"/>
      <c r="AF49" s="52"/>
      <c r="AG49" s="52"/>
      <c r="AH49" s="52"/>
      <c r="AI49" s="52"/>
      <c r="AJ49" s="52"/>
      <c r="AK49" s="52"/>
      <c r="AL49" s="52"/>
      <c r="AM49" s="52"/>
      <c r="AN49" s="52"/>
      <c r="AO49" s="52"/>
      <c r="AP49" s="52"/>
      <c r="AQ49" s="52"/>
      <c r="AR49" s="52"/>
      <c r="AS49" s="52"/>
      <c r="AT49" s="52"/>
      <c r="AU49" s="52"/>
      <c r="AV49" s="52"/>
      <c r="AW49" s="52"/>
      <c r="AX49" s="52"/>
      <c r="AY49" s="52"/>
      <c r="AZ49" s="52"/>
      <c r="BA49" s="52"/>
      <c r="BB49" s="52"/>
      <c r="BC49" s="52"/>
      <c r="BD49" s="52"/>
      <c r="BE49" s="52"/>
      <c r="BF49" s="52"/>
      <c r="BG49" s="52"/>
      <c r="BH49" s="52"/>
      <c r="BI49" s="52"/>
      <c r="BJ49" s="52"/>
      <c r="BK49" s="52"/>
      <c r="BL49" s="52"/>
    </row>
    <row r="50" s="47" customFormat="true" ht="30" hidden="false" customHeight="true" outlineLevel="0" collapsed="false">
      <c r="A50" s="1"/>
      <c r="B50" s="77" t="s">
        <v>74</v>
      </c>
      <c r="C50" s="78" t="s">
        <v>72</v>
      </c>
      <c r="D50" s="79"/>
      <c r="E50" s="80"/>
      <c r="F50" s="80"/>
      <c r="G50" s="44"/>
      <c r="H50" s="45"/>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c r="AO50" s="52"/>
      <c r="AP50" s="52"/>
      <c r="AQ50" s="52"/>
      <c r="AR50" s="52"/>
      <c r="AS50" s="52"/>
      <c r="AT50" s="52"/>
      <c r="AU50" s="52"/>
      <c r="AV50" s="52"/>
      <c r="AW50" s="52"/>
      <c r="AX50" s="52"/>
      <c r="AY50" s="52"/>
      <c r="AZ50" s="52"/>
      <c r="BA50" s="52"/>
      <c r="BB50" s="52"/>
      <c r="BC50" s="52"/>
      <c r="BD50" s="52"/>
      <c r="BE50" s="52"/>
      <c r="BF50" s="52"/>
      <c r="BG50" s="52"/>
      <c r="BH50" s="52"/>
      <c r="BI50" s="52"/>
      <c r="BJ50" s="52"/>
      <c r="BK50" s="52"/>
      <c r="BL50" s="52"/>
    </row>
    <row r="51" s="47" customFormat="true" ht="30" hidden="false" customHeight="true" outlineLevel="0" collapsed="false">
      <c r="A51" s="1"/>
      <c r="B51" s="77" t="s">
        <v>75</v>
      </c>
      <c r="C51" s="78" t="s">
        <v>72</v>
      </c>
      <c r="D51" s="79" t="n">
        <v>1</v>
      </c>
      <c r="E51" s="80"/>
      <c r="F51" s="80"/>
      <c r="G51" s="44"/>
      <c r="H51" s="45"/>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row>
    <row r="52" s="47" customFormat="true" ht="30" hidden="false" customHeight="true" outlineLevel="0" collapsed="false">
      <c r="A52" s="1"/>
      <c r="B52" s="77" t="s">
        <v>76</v>
      </c>
      <c r="C52" s="78" t="s">
        <v>72</v>
      </c>
      <c r="D52" s="79" t="n">
        <v>1</v>
      </c>
      <c r="E52" s="80"/>
      <c r="F52" s="80"/>
      <c r="G52" s="44"/>
      <c r="H52" s="45"/>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row>
    <row r="53" s="47" customFormat="true" ht="30" hidden="false" customHeight="true" outlineLevel="0" collapsed="false">
      <c r="A53" s="1"/>
      <c r="B53" s="77" t="s">
        <v>77</v>
      </c>
      <c r="C53" s="78" t="s">
        <v>72</v>
      </c>
      <c r="D53" s="79"/>
      <c r="E53" s="80"/>
      <c r="F53" s="80"/>
      <c r="G53" s="44"/>
      <c r="H53" s="45"/>
      <c r="I53" s="52"/>
      <c r="J53" s="52"/>
      <c r="K53" s="52"/>
      <c r="L53" s="52"/>
      <c r="M53" s="52"/>
      <c r="N53" s="52"/>
      <c r="O53" s="52"/>
      <c r="P53" s="52"/>
      <c r="Q53" s="52"/>
      <c r="R53" s="52"/>
      <c r="S53" s="52"/>
      <c r="T53" s="52"/>
      <c r="U53" s="52"/>
      <c r="V53" s="52"/>
      <c r="W53" s="52"/>
      <c r="X53" s="52"/>
      <c r="Y53" s="52"/>
      <c r="Z53" s="52"/>
      <c r="AA53" s="52"/>
      <c r="AB53" s="52"/>
      <c r="AC53" s="52"/>
      <c r="AD53" s="52"/>
      <c r="AE53" s="52"/>
      <c r="AF53" s="52"/>
      <c r="AG53" s="52"/>
      <c r="AH53" s="52"/>
      <c r="AI53" s="52"/>
      <c r="AJ53" s="52"/>
      <c r="AK53" s="52"/>
      <c r="AL53" s="52"/>
      <c r="AM53" s="52"/>
      <c r="AN53" s="52"/>
      <c r="AO53" s="52"/>
      <c r="AP53" s="52"/>
      <c r="AQ53" s="52"/>
      <c r="AR53" s="52"/>
      <c r="AS53" s="52"/>
      <c r="AT53" s="52"/>
      <c r="AU53" s="52"/>
      <c r="AV53" s="52"/>
      <c r="AW53" s="52"/>
      <c r="AX53" s="52"/>
      <c r="AY53" s="52"/>
      <c r="AZ53" s="52"/>
      <c r="BA53" s="52"/>
      <c r="BB53" s="52"/>
      <c r="BC53" s="52"/>
      <c r="BD53" s="52"/>
      <c r="BE53" s="52"/>
      <c r="BF53" s="52"/>
      <c r="BG53" s="52"/>
      <c r="BH53" s="52"/>
      <c r="BI53" s="52"/>
      <c r="BJ53" s="52"/>
      <c r="BK53" s="52"/>
      <c r="BL53" s="52"/>
    </row>
    <row r="54" s="47" customFormat="true" ht="30" hidden="false" customHeight="true" outlineLevel="0" collapsed="false">
      <c r="A54" s="1"/>
      <c r="B54" s="77" t="s">
        <v>78</v>
      </c>
      <c r="C54" s="78" t="s">
        <v>72</v>
      </c>
      <c r="D54" s="79" t="n">
        <v>1</v>
      </c>
      <c r="E54" s="80"/>
      <c r="F54" s="80"/>
      <c r="G54" s="44"/>
      <c r="H54" s="45"/>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row>
    <row r="55" s="47" customFormat="true" ht="30" hidden="false" customHeight="true" outlineLevel="0" collapsed="false">
      <c r="A55" s="1"/>
      <c r="B55" s="77" t="s">
        <v>79</v>
      </c>
      <c r="C55" s="78" t="s">
        <v>72</v>
      </c>
      <c r="D55" s="79"/>
      <c r="E55" s="80"/>
      <c r="F55" s="80"/>
      <c r="G55" s="44"/>
      <c r="H55" s="45"/>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row>
    <row r="56" s="47" customFormat="true" ht="30" hidden="false" customHeight="true" outlineLevel="0" collapsed="false">
      <c r="A56" s="1"/>
      <c r="B56" s="77" t="s">
        <v>80</v>
      </c>
      <c r="C56" s="78" t="s">
        <v>72</v>
      </c>
      <c r="D56" s="79" t="n">
        <v>1</v>
      </c>
      <c r="E56" s="80"/>
      <c r="F56" s="80"/>
      <c r="G56" s="44"/>
      <c r="H56" s="45"/>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row>
    <row r="57" s="47" customFormat="true" ht="30" hidden="false" customHeight="true" outlineLevel="0" collapsed="false">
      <c r="A57" s="1"/>
      <c r="B57" s="73" t="s">
        <v>81</v>
      </c>
      <c r="C57" s="74"/>
      <c r="D57" s="75"/>
      <c r="E57" s="76" t="n">
        <v>46090</v>
      </c>
      <c r="F57" s="76" t="n">
        <v>46131</v>
      </c>
      <c r="G57" s="44"/>
      <c r="H57" s="45"/>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row>
    <row r="58" s="47" customFormat="true" ht="30" hidden="false" customHeight="true" outlineLevel="0" collapsed="false">
      <c r="A58" s="1"/>
      <c r="B58" s="77" t="s">
        <v>82</v>
      </c>
      <c r="C58" s="78" t="s">
        <v>83</v>
      </c>
      <c r="D58" s="79"/>
      <c r="E58" s="80"/>
      <c r="F58" s="80"/>
      <c r="G58" s="44"/>
      <c r="H58" s="45"/>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row>
    <row r="59" s="47" customFormat="true" ht="30" hidden="false" customHeight="true" outlineLevel="0" collapsed="false">
      <c r="A59" s="1"/>
      <c r="B59" s="77" t="s">
        <v>84</v>
      </c>
      <c r="C59" s="78" t="s">
        <v>83</v>
      </c>
      <c r="D59" s="79"/>
      <c r="E59" s="80"/>
      <c r="F59" s="80"/>
      <c r="G59" s="44"/>
      <c r="H59" s="45"/>
      <c r="I59" s="52"/>
      <c r="J59" s="52"/>
      <c r="K59" s="52"/>
      <c r="L59" s="52"/>
      <c r="M59" s="52"/>
      <c r="N59" s="52"/>
      <c r="O59" s="52"/>
      <c r="P59" s="52"/>
      <c r="Q59" s="52"/>
      <c r="R59" s="52"/>
      <c r="S59" s="52"/>
      <c r="T59" s="52"/>
      <c r="U59" s="52"/>
      <c r="V59" s="52"/>
      <c r="W59" s="52"/>
      <c r="X59" s="52"/>
      <c r="Y59" s="52"/>
      <c r="Z59" s="52"/>
      <c r="AA59" s="52"/>
      <c r="AB59" s="52"/>
      <c r="AC59" s="52"/>
      <c r="AD59" s="52"/>
      <c r="AE59" s="52"/>
      <c r="AF59" s="52"/>
      <c r="AG59" s="52"/>
      <c r="AH59" s="52"/>
      <c r="AI59" s="52"/>
      <c r="AJ59" s="52"/>
      <c r="AK59" s="52"/>
      <c r="AL59" s="52"/>
      <c r="AM59" s="52"/>
      <c r="AN59" s="52"/>
      <c r="AO59" s="52"/>
      <c r="AP59" s="52"/>
      <c r="AQ59" s="52"/>
      <c r="AR59" s="52"/>
      <c r="AS59" s="52"/>
      <c r="AT59" s="52"/>
      <c r="AU59" s="52"/>
      <c r="AV59" s="52"/>
      <c r="AW59" s="52"/>
      <c r="AX59" s="52"/>
      <c r="AY59" s="52"/>
      <c r="AZ59" s="52"/>
      <c r="BA59" s="52"/>
      <c r="BB59" s="52"/>
      <c r="BC59" s="52"/>
      <c r="BD59" s="52"/>
      <c r="BE59" s="52"/>
      <c r="BF59" s="52"/>
      <c r="BG59" s="52"/>
      <c r="BH59" s="52"/>
      <c r="BI59" s="52"/>
      <c r="BJ59" s="52"/>
      <c r="BK59" s="52"/>
      <c r="BL59" s="52"/>
    </row>
    <row r="60" s="47" customFormat="true" ht="30" hidden="false" customHeight="true" outlineLevel="0" collapsed="false">
      <c r="A60" s="1"/>
      <c r="B60" s="77" t="s">
        <v>85</v>
      </c>
      <c r="C60" s="78" t="s">
        <v>83</v>
      </c>
      <c r="D60" s="79"/>
      <c r="E60" s="80"/>
      <c r="F60" s="80"/>
      <c r="G60" s="44"/>
      <c r="H60" s="45"/>
      <c r="I60" s="52"/>
      <c r="J60" s="52"/>
      <c r="K60" s="52"/>
      <c r="L60" s="52"/>
      <c r="M60" s="52"/>
      <c r="N60" s="52"/>
      <c r="O60" s="52"/>
      <c r="P60" s="52"/>
      <c r="Q60" s="52"/>
      <c r="R60" s="52"/>
      <c r="S60" s="52"/>
      <c r="T60" s="52"/>
      <c r="U60" s="52"/>
      <c r="V60" s="52"/>
      <c r="W60" s="52"/>
      <c r="X60" s="52"/>
      <c r="Y60" s="52"/>
      <c r="Z60" s="52"/>
      <c r="AA60" s="52"/>
      <c r="AB60" s="52"/>
      <c r="AC60" s="52"/>
      <c r="AD60" s="52"/>
      <c r="AE60" s="52"/>
      <c r="AF60" s="52"/>
      <c r="AG60" s="52"/>
      <c r="AH60" s="52"/>
      <c r="AI60" s="52"/>
      <c r="AJ60" s="52"/>
      <c r="AK60" s="52"/>
      <c r="AL60" s="52"/>
      <c r="AM60" s="52"/>
      <c r="AN60" s="52"/>
      <c r="AO60" s="52"/>
      <c r="AP60" s="52"/>
      <c r="AQ60" s="52"/>
      <c r="AR60" s="52"/>
      <c r="AS60" s="52"/>
      <c r="AT60" s="52"/>
      <c r="AU60" s="52"/>
      <c r="AV60" s="52"/>
      <c r="AW60" s="52"/>
      <c r="AX60" s="52"/>
      <c r="AY60" s="52"/>
      <c r="AZ60" s="52"/>
      <c r="BA60" s="52"/>
      <c r="BB60" s="52"/>
      <c r="BC60" s="52"/>
      <c r="BD60" s="52"/>
      <c r="BE60" s="52"/>
      <c r="BF60" s="52"/>
      <c r="BG60" s="52"/>
      <c r="BH60" s="52"/>
      <c r="BI60" s="52"/>
      <c r="BJ60" s="52"/>
      <c r="BK60" s="52"/>
      <c r="BL60" s="52"/>
    </row>
    <row r="61" s="47" customFormat="true" ht="30" hidden="false" customHeight="true" outlineLevel="0" collapsed="false">
      <c r="A61" s="1"/>
      <c r="B61" s="77" t="s">
        <v>86</v>
      </c>
      <c r="C61" s="78" t="s">
        <v>83</v>
      </c>
      <c r="D61" s="79"/>
      <c r="E61" s="80"/>
      <c r="F61" s="80"/>
      <c r="G61" s="44"/>
      <c r="H61" s="45"/>
      <c r="I61" s="52"/>
      <c r="J61" s="52"/>
      <c r="K61" s="52"/>
      <c r="L61" s="52"/>
      <c r="M61" s="52"/>
      <c r="N61" s="52"/>
      <c r="O61" s="52"/>
      <c r="P61" s="52"/>
      <c r="Q61" s="52"/>
      <c r="R61" s="52"/>
      <c r="S61" s="52"/>
      <c r="T61" s="52"/>
      <c r="U61" s="52"/>
      <c r="V61" s="52"/>
      <c r="W61" s="52"/>
      <c r="X61" s="52"/>
      <c r="Y61" s="52"/>
      <c r="Z61" s="52"/>
      <c r="AA61" s="52"/>
      <c r="AB61" s="52"/>
      <c r="AC61" s="52"/>
      <c r="AD61" s="52"/>
      <c r="AE61" s="52"/>
      <c r="AF61" s="52"/>
      <c r="AG61" s="52"/>
      <c r="AH61" s="52"/>
      <c r="AI61" s="52"/>
      <c r="AJ61" s="52"/>
      <c r="AK61" s="52"/>
      <c r="AL61" s="52"/>
      <c r="AM61" s="52"/>
      <c r="AN61" s="52"/>
      <c r="AO61" s="52"/>
      <c r="AP61" s="52"/>
      <c r="AQ61" s="52"/>
      <c r="AR61" s="52"/>
      <c r="AS61" s="52"/>
      <c r="AT61" s="52"/>
      <c r="AU61" s="52"/>
      <c r="AV61" s="52"/>
      <c r="AW61" s="52"/>
      <c r="AX61" s="52"/>
      <c r="AY61" s="52"/>
      <c r="AZ61" s="52"/>
      <c r="BA61" s="52"/>
      <c r="BB61" s="52"/>
      <c r="BC61" s="52"/>
      <c r="BD61" s="52"/>
      <c r="BE61" s="52"/>
      <c r="BF61" s="52"/>
      <c r="BG61" s="52"/>
      <c r="BH61" s="52"/>
      <c r="BI61" s="52"/>
      <c r="BJ61" s="52"/>
      <c r="BK61" s="52"/>
      <c r="BL61" s="52"/>
    </row>
    <row r="62" s="47" customFormat="true" ht="30" hidden="false" customHeight="true" outlineLevel="0" collapsed="false">
      <c r="A62" s="1"/>
      <c r="B62" s="77" t="s">
        <v>87</v>
      </c>
      <c r="C62" s="78" t="s">
        <v>83</v>
      </c>
      <c r="D62" s="79"/>
      <c r="E62" s="80"/>
      <c r="F62" s="80"/>
      <c r="G62" s="44"/>
      <c r="H62" s="45"/>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2"/>
      <c r="AV62" s="52"/>
      <c r="AW62" s="52"/>
      <c r="AX62" s="52"/>
      <c r="AY62" s="52"/>
      <c r="AZ62" s="52"/>
      <c r="BA62" s="52"/>
      <c r="BB62" s="52"/>
      <c r="BC62" s="52"/>
      <c r="BD62" s="52"/>
      <c r="BE62" s="52"/>
      <c r="BF62" s="52"/>
      <c r="BG62" s="52"/>
      <c r="BH62" s="52"/>
      <c r="BI62" s="52"/>
      <c r="BJ62" s="52"/>
      <c r="BK62" s="52"/>
      <c r="BL62" s="52"/>
    </row>
    <row r="63" s="47" customFormat="true" ht="30" hidden="false" customHeight="true" outlineLevel="0" collapsed="false">
      <c r="A63" s="1"/>
      <c r="B63" s="73" t="s">
        <v>88</v>
      </c>
      <c r="C63" s="74"/>
      <c r="D63" s="75"/>
      <c r="E63" s="76" t="n">
        <v>46090</v>
      </c>
      <c r="F63" s="76" t="n">
        <v>46131</v>
      </c>
      <c r="G63" s="44"/>
      <c r="H63" s="45"/>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row>
    <row r="64" s="47" customFormat="true" ht="30" hidden="false" customHeight="true" outlineLevel="0" collapsed="false">
      <c r="A64" s="1"/>
      <c r="B64" s="77" t="s">
        <v>89</v>
      </c>
      <c r="C64" s="78" t="s">
        <v>90</v>
      </c>
      <c r="D64" s="79"/>
      <c r="E64" s="80"/>
      <c r="F64" s="80"/>
      <c r="G64" s="44"/>
      <c r="H64" s="45"/>
      <c r="I64" s="52"/>
      <c r="J64" s="52"/>
      <c r="K64" s="52"/>
      <c r="L64" s="52"/>
      <c r="M64" s="52"/>
      <c r="N64" s="52"/>
      <c r="O64" s="52"/>
      <c r="P64" s="52"/>
      <c r="Q64" s="52"/>
      <c r="R64" s="52"/>
      <c r="S64" s="52"/>
      <c r="T64" s="52"/>
      <c r="U64" s="52"/>
      <c r="V64" s="52"/>
      <c r="W64" s="52"/>
      <c r="X64" s="52"/>
      <c r="Y64" s="52"/>
      <c r="Z64" s="52"/>
      <c r="AA64" s="52"/>
      <c r="AB64" s="52"/>
      <c r="AC64" s="52"/>
      <c r="AD64" s="52"/>
      <c r="AE64" s="52"/>
      <c r="AF64" s="52"/>
      <c r="AG64" s="52"/>
      <c r="AH64" s="52"/>
      <c r="AI64" s="52"/>
      <c r="AJ64" s="52"/>
      <c r="AK64" s="52"/>
      <c r="AL64" s="52"/>
      <c r="AM64" s="52"/>
      <c r="AN64" s="52"/>
      <c r="AO64" s="52"/>
      <c r="AP64" s="52"/>
      <c r="AQ64" s="52"/>
      <c r="AR64" s="52"/>
      <c r="AS64" s="52"/>
      <c r="AT64" s="52"/>
      <c r="AU64" s="52"/>
      <c r="AV64" s="52"/>
      <c r="AW64" s="52"/>
      <c r="AX64" s="52"/>
      <c r="AY64" s="52"/>
      <c r="AZ64" s="52"/>
      <c r="BA64" s="52"/>
      <c r="BB64" s="52"/>
      <c r="BC64" s="52"/>
      <c r="BD64" s="52"/>
      <c r="BE64" s="52"/>
      <c r="BF64" s="52"/>
      <c r="BG64" s="52"/>
      <c r="BH64" s="52"/>
      <c r="BI64" s="52"/>
      <c r="BJ64" s="52"/>
      <c r="BK64" s="52"/>
      <c r="BL64" s="52"/>
    </row>
    <row r="65" s="47" customFormat="true" ht="30" hidden="false" customHeight="true" outlineLevel="0" collapsed="false">
      <c r="A65" s="1"/>
      <c r="B65" s="77" t="s">
        <v>91</v>
      </c>
      <c r="C65" s="78" t="s">
        <v>90</v>
      </c>
      <c r="D65" s="79"/>
      <c r="E65" s="80"/>
      <c r="F65" s="80"/>
      <c r="G65" s="44"/>
      <c r="H65" s="45"/>
      <c r="I65" s="52"/>
      <c r="J65" s="52"/>
      <c r="K65" s="52"/>
      <c r="L65" s="52"/>
      <c r="M65" s="52"/>
      <c r="N65" s="52"/>
      <c r="O65" s="52"/>
      <c r="P65" s="52"/>
      <c r="Q65" s="52"/>
      <c r="R65" s="52"/>
      <c r="S65" s="52"/>
      <c r="T65" s="52"/>
      <c r="U65" s="52"/>
      <c r="V65" s="52"/>
      <c r="W65" s="52"/>
      <c r="X65" s="52"/>
      <c r="Y65" s="52"/>
      <c r="Z65" s="52"/>
      <c r="AA65" s="52"/>
      <c r="AB65" s="52"/>
      <c r="AC65" s="52"/>
      <c r="AD65" s="52"/>
      <c r="AE65" s="52"/>
      <c r="AF65" s="52"/>
      <c r="AG65" s="52"/>
      <c r="AH65" s="52"/>
      <c r="AI65" s="52"/>
      <c r="AJ65" s="52"/>
      <c r="AK65" s="52"/>
      <c r="AL65" s="52"/>
      <c r="AM65" s="52"/>
      <c r="AN65" s="52"/>
      <c r="AO65" s="52"/>
      <c r="AP65" s="52"/>
      <c r="AQ65" s="52"/>
      <c r="AR65" s="52"/>
      <c r="AS65" s="52"/>
      <c r="AT65" s="52"/>
      <c r="AU65" s="52"/>
      <c r="AV65" s="52"/>
      <c r="AW65" s="52"/>
      <c r="AX65" s="52"/>
      <c r="AY65" s="52"/>
      <c r="AZ65" s="52"/>
      <c r="BA65" s="52"/>
      <c r="BB65" s="52"/>
      <c r="BC65" s="52"/>
      <c r="BD65" s="52"/>
      <c r="BE65" s="52"/>
      <c r="BF65" s="52"/>
      <c r="BG65" s="52"/>
      <c r="BH65" s="52"/>
      <c r="BI65" s="52"/>
      <c r="BJ65" s="52"/>
      <c r="BK65" s="52"/>
      <c r="BL65" s="52"/>
    </row>
    <row r="66" s="47" customFormat="true" ht="30" hidden="false" customHeight="true" outlineLevel="0" collapsed="false">
      <c r="A66" s="1"/>
      <c r="B66" s="77" t="s">
        <v>92</v>
      </c>
      <c r="C66" s="78" t="s">
        <v>90</v>
      </c>
      <c r="D66" s="79"/>
      <c r="E66" s="80"/>
      <c r="F66" s="80"/>
      <c r="G66" s="44"/>
      <c r="H66" s="45"/>
      <c r="I66" s="52"/>
      <c r="J66" s="52"/>
      <c r="K66" s="52"/>
      <c r="L66" s="52"/>
      <c r="M66" s="52"/>
      <c r="N66" s="52"/>
      <c r="O66" s="52"/>
      <c r="P66" s="52"/>
      <c r="Q66" s="52"/>
      <c r="R66" s="52"/>
      <c r="S66" s="52"/>
      <c r="T66" s="52"/>
      <c r="U66" s="52"/>
      <c r="V66" s="52"/>
      <c r="W66" s="52"/>
      <c r="X66" s="52"/>
      <c r="Y66" s="52"/>
      <c r="Z66" s="52"/>
      <c r="AA66" s="52"/>
      <c r="AB66" s="52"/>
      <c r="AC66" s="52"/>
      <c r="AD66" s="52"/>
      <c r="AE66" s="52"/>
      <c r="AF66" s="52"/>
      <c r="AG66" s="52"/>
      <c r="AH66" s="52"/>
      <c r="AI66" s="52"/>
      <c r="AJ66" s="52"/>
      <c r="AK66" s="52"/>
      <c r="AL66" s="52"/>
      <c r="AM66" s="52"/>
      <c r="AN66" s="52"/>
      <c r="AO66" s="52"/>
      <c r="AP66" s="52"/>
      <c r="AQ66" s="52"/>
      <c r="AR66" s="52"/>
      <c r="AS66" s="52"/>
      <c r="AT66" s="52"/>
      <c r="AU66" s="52"/>
      <c r="AV66" s="52"/>
      <c r="AW66" s="52"/>
      <c r="AX66" s="52"/>
      <c r="AY66" s="52"/>
      <c r="AZ66" s="52"/>
      <c r="BA66" s="52"/>
      <c r="BB66" s="52"/>
      <c r="BC66" s="52"/>
      <c r="BD66" s="52"/>
      <c r="BE66" s="52"/>
      <c r="BF66" s="52"/>
      <c r="BG66" s="52"/>
      <c r="BH66" s="52"/>
      <c r="BI66" s="52"/>
      <c r="BJ66" s="52"/>
      <c r="BK66" s="52"/>
      <c r="BL66" s="52"/>
    </row>
    <row r="67" s="47" customFormat="true" ht="30" hidden="false" customHeight="true" outlineLevel="0" collapsed="false">
      <c r="A67" s="1"/>
      <c r="B67" s="73" t="s">
        <v>93</v>
      </c>
      <c r="C67" s="74"/>
      <c r="D67" s="75"/>
      <c r="E67" s="76" t="n">
        <v>46090</v>
      </c>
      <c r="F67" s="76" t="n">
        <v>46131</v>
      </c>
      <c r="G67" s="44"/>
      <c r="H67" s="45"/>
      <c r="I67" s="52"/>
      <c r="J67" s="52"/>
      <c r="K67" s="52"/>
      <c r="L67" s="52"/>
      <c r="M67" s="52"/>
      <c r="N67" s="52"/>
      <c r="O67" s="52"/>
      <c r="P67" s="52"/>
      <c r="Q67" s="52"/>
      <c r="R67" s="52"/>
      <c r="S67" s="52"/>
      <c r="T67" s="52"/>
      <c r="U67" s="52"/>
      <c r="V67" s="52"/>
      <c r="W67" s="52"/>
      <c r="X67" s="52"/>
      <c r="Y67" s="52"/>
      <c r="Z67" s="52"/>
      <c r="AA67" s="52"/>
      <c r="AB67" s="52"/>
      <c r="AC67" s="52"/>
      <c r="AD67" s="52"/>
      <c r="AE67" s="52"/>
      <c r="AF67" s="52"/>
      <c r="AG67" s="52"/>
      <c r="AH67" s="52"/>
      <c r="AI67" s="52"/>
      <c r="AJ67" s="52"/>
      <c r="AK67" s="52"/>
      <c r="AL67" s="52"/>
      <c r="AM67" s="52"/>
      <c r="AN67" s="52"/>
      <c r="AO67" s="52"/>
      <c r="AP67" s="52"/>
      <c r="AQ67" s="52"/>
      <c r="AR67" s="52"/>
      <c r="AS67" s="52"/>
      <c r="AT67" s="52"/>
      <c r="AU67" s="52"/>
      <c r="AV67" s="52"/>
      <c r="AW67" s="52"/>
      <c r="AX67" s="52"/>
      <c r="AY67" s="52"/>
      <c r="AZ67" s="52"/>
      <c r="BA67" s="52"/>
      <c r="BB67" s="52"/>
      <c r="BC67" s="52"/>
      <c r="BD67" s="52"/>
      <c r="BE67" s="52"/>
      <c r="BF67" s="52"/>
      <c r="BG67" s="52"/>
      <c r="BH67" s="52"/>
      <c r="BI67" s="52"/>
      <c r="BJ67" s="52"/>
      <c r="BK67" s="52"/>
      <c r="BL67" s="52"/>
    </row>
    <row r="68" s="47" customFormat="true" ht="30" hidden="false" customHeight="true" outlineLevel="0" collapsed="false">
      <c r="A68" s="1"/>
      <c r="B68" s="77" t="s">
        <v>94</v>
      </c>
      <c r="C68" s="78" t="s">
        <v>95</v>
      </c>
      <c r="D68" s="79" t="n">
        <v>1</v>
      </c>
      <c r="E68" s="80" t="n">
        <v>46113</v>
      </c>
      <c r="F68" s="80" t="n">
        <v>46118</v>
      </c>
      <c r="G68" s="44"/>
      <c r="H68" s="45"/>
      <c r="I68" s="52"/>
      <c r="J68" s="52"/>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row>
    <row r="69" s="47" customFormat="true" ht="30" hidden="false" customHeight="true" outlineLevel="0" collapsed="false">
      <c r="A69" s="1"/>
      <c r="B69" s="77" t="s">
        <v>96</v>
      </c>
      <c r="C69" s="78" t="s">
        <v>95</v>
      </c>
      <c r="D69" s="79" t="n">
        <v>1</v>
      </c>
      <c r="E69" s="80" t="n">
        <v>46101</v>
      </c>
      <c r="F69" s="80" t="n">
        <v>46104</v>
      </c>
      <c r="G69" s="44"/>
      <c r="H69" s="45"/>
      <c r="I69" s="52"/>
      <c r="J69" s="52"/>
      <c r="K69" s="52"/>
      <c r="L69" s="52"/>
      <c r="M69" s="52"/>
      <c r="N69" s="52"/>
      <c r="O69" s="52"/>
      <c r="P69" s="52"/>
      <c r="Q69" s="52"/>
      <c r="R69" s="52"/>
      <c r="S69" s="52"/>
      <c r="T69" s="52"/>
      <c r="U69" s="52"/>
      <c r="V69" s="52"/>
      <c r="W69" s="52"/>
      <c r="X69" s="52"/>
      <c r="Y69" s="52"/>
      <c r="Z69" s="52"/>
      <c r="AA69" s="52"/>
      <c r="AB69" s="52"/>
      <c r="AC69" s="52"/>
      <c r="AD69" s="52"/>
      <c r="AE69" s="52"/>
      <c r="AF69" s="52"/>
      <c r="AG69" s="52"/>
      <c r="AH69" s="52"/>
      <c r="AI69" s="52"/>
      <c r="AJ69" s="52"/>
      <c r="AK69" s="52"/>
      <c r="AL69" s="52"/>
      <c r="AM69" s="52"/>
      <c r="AN69" s="52"/>
      <c r="AO69" s="52"/>
      <c r="AP69" s="52"/>
      <c r="AQ69" s="52"/>
      <c r="AR69" s="52"/>
      <c r="AS69" s="52"/>
      <c r="AT69" s="52"/>
      <c r="AU69" s="52"/>
      <c r="AV69" s="52"/>
      <c r="AW69" s="52"/>
      <c r="AX69" s="52"/>
      <c r="AY69" s="52"/>
      <c r="AZ69" s="52"/>
      <c r="BA69" s="52"/>
      <c r="BB69" s="52"/>
      <c r="BC69" s="52"/>
      <c r="BD69" s="52"/>
      <c r="BE69" s="52"/>
      <c r="BF69" s="52"/>
      <c r="BG69" s="52"/>
      <c r="BH69" s="52"/>
      <c r="BI69" s="52"/>
      <c r="BJ69" s="52"/>
      <c r="BK69" s="52"/>
      <c r="BL69" s="52"/>
    </row>
    <row r="70" s="47" customFormat="true" ht="30" hidden="false" customHeight="true" outlineLevel="0" collapsed="false">
      <c r="A70" s="1"/>
      <c r="B70" s="77" t="s">
        <v>97</v>
      </c>
      <c r="C70" s="78" t="s">
        <v>98</v>
      </c>
      <c r="D70" s="79" t="n">
        <v>1</v>
      </c>
      <c r="E70" s="80"/>
      <c r="F70" s="80"/>
      <c r="G70" s="44"/>
      <c r="H70" s="45"/>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row>
    <row r="71" s="47" customFormat="true" ht="30" hidden="false" customHeight="true" outlineLevel="0" collapsed="false">
      <c r="A71" s="1"/>
      <c r="B71" s="77" t="s">
        <v>99</v>
      </c>
      <c r="C71" s="78" t="s">
        <v>98</v>
      </c>
      <c r="D71" s="79" t="n">
        <v>1</v>
      </c>
      <c r="E71" s="80"/>
      <c r="F71" s="80"/>
      <c r="G71" s="44"/>
      <c r="H71" s="45"/>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row>
    <row r="72" s="47" customFormat="true" ht="30" hidden="false" customHeight="true" outlineLevel="0" collapsed="false">
      <c r="A72" s="1"/>
      <c r="B72" s="77" t="s">
        <v>100</v>
      </c>
      <c r="C72" s="78" t="s">
        <v>98</v>
      </c>
      <c r="D72" s="79"/>
      <c r="E72" s="80"/>
      <c r="F72" s="80"/>
      <c r="G72" s="44"/>
      <c r="H72" s="45"/>
      <c r="I72" s="52"/>
      <c r="J72" s="52"/>
      <c r="K72" s="52"/>
      <c r="L72" s="52"/>
      <c r="M72" s="52"/>
      <c r="N72" s="52"/>
      <c r="O72" s="52"/>
      <c r="P72" s="52"/>
      <c r="Q72" s="52"/>
      <c r="R72" s="52"/>
      <c r="S72" s="52"/>
      <c r="T72" s="52"/>
      <c r="U72" s="52"/>
      <c r="V72" s="52"/>
      <c r="W72" s="52"/>
      <c r="X72" s="52"/>
      <c r="Y72" s="52"/>
      <c r="Z72" s="52"/>
      <c r="AA72" s="52"/>
      <c r="AB72" s="52"/>
      <c r="AC72" s="52"/>
      <c r="AD72" s="52"/>
      <c r="AE72" s="52"/>
      <c r="AF72" s="52"/>
      <c r="AG72" s="52"/>
      <c r="AH72" s="52"/>
      <c r="AI72" s="52"/>
      <c r="AJ72" s="52"/>
      <c r="AK72" s="52"/>
      <c r="AL72" s="52"/>
      <c r="AM72" s="52"/>
      <c r="AN72" s="52"/>
      <c r="AO72" s="52"/>
      <c r="AP72" s="52"/>
      <c r="AQ72" s="52"/>
      <c r="AR72" s="52"/>
      <c r="AS72" s="52"/>
      <c r="AT72" s="52"/>
      <c r="AU72" s="52"/>
      <c r="AV72" s="52"/>
      <c r="AW72" s="52"/>
      <c r="AX72" s="52"/>
      <c r="AY72" s="52"/>
      <c r="AZ72" s="52"/>
      <c r="BA72" s="52"/>
      <c r="BB72" s="52"/>
      <c r="BC72" s="52"/>
      <c r="BD72" s="52"/>
      <c r="BE72" s="52"/>
      <c r="BF72" s="52"/>
      <c r="BG72" s="52"/>
      <c r="BH72" s="52"/>
      <c r="BI72" s="52"/>
      <c r="BJ72" s="52"/>
      <c r="BK72" s="52"/>
      <c r="BL72" s="52"/>
    </row>
    <row r="73" s="47" customFormat="true" ht="30" hidden="false" customHeight="true" outlineLevel="0" collapsed="false">
      <c r="A73" s="1"/>
      <c r="B73" s="77" t="s">
        <v>101</v>
      </c>
      <c r="C73" s="78" t="s">
        <v>98</v>
      </c>
      <c r="D73" s="79"/>
      <c r="E73" s="80" t="n">
        <v>46107</v>
      </c>
      <c r="F73" s="80" t="n">
        <v>46131</v>
      </c>
      <c r="G73" s="44"/>
      <c r="H73" s="45"/>
      <c r="I73" s="52"/>
      <c r="J73" s="52"/>
      <c r="K73" s="52"/>
      <c r="L73" s="52"/>
      <c r="M73" s="52"/>
      <c r="N73" s="52"/>
      <c r="O73" s="52"/>
      <c r="P73" s="52"/>
      <c r="Q73" s="52"/>
      <c r="R73" s="52"/>
      <c r="S73" s="52"/>
      <c r="T73" s="52"/>
      <c r="U73" s="52"/>
      <c r="V73" s="52"/>
      <c r="W73" s="52"/>
      <c r="X73" s="52"/>
      <c r="Y73" s="52"/>
      <c r="Z73" s="52"/>
      <c r="AA73" s="52"/>
      <c r="AB73" s="52"/>
      <c r="AC73" s="52"/>
      <c r="AD73" s="52"/>
      <c r="AE73" s="52"/>
      <c r="AF73" s="52"/>
      <c r="AG73" s="52"/>
      <c r="AH73" s="52"/>
      <c r="AI73" s="52"/>
      <c r="AJ73" s="52"/>
      <c r="AK73" s="52"/>
      <c r="AL73" s="52"/>
      <c r="AM73" s="52"/>
      <c r="AN73" s="52"/>
      <c r="AO73" s="52"/>
      <c r="AP73" s="52"/>
      <c r="AQ73" s="52"/>
      <c r="AR73" s="52"/>
      <c r="AS73" s="52"/>
      <c r="AT73" s="52"/>
      <c r="AU73" s="52"/>
      <c r="AV73" s="52"/>
      <c r="AW73" s="52"/>
      <c r="AX73" s="52"/>
      <c r="AY73" s="52"/>
      <c r="AZ73" s="52"/>
      <c r="BA73" s="52"/>
      <c r="BB73" s="52"/>
      <c r="BC73" s="52"/>
      <c r="BD73" s="52"/>
      <c r="BE73" s="52"/>
      <c r="BF73" s="52"/>
      <c r="BG73" s="52"/>
      <c r="BH73" s="52"/>
      <c r="BI73" s="52"/>
      <c r="BJ73" s="52"/>
      <c r="BK73" s="52"/>
      <c r="BL73" s="52"/>
    </row>
    <row r="74" s="47" customFormat="true" ht="30" hidden="false" customHeight="true" outlineLevel="0" collapsed="false">
      <c r="A74" s="1"/>
      <c r="B74" s="77" t="s">
        <v>102</v>
      </c>
      <c r="C74" s="78" t="s">
        <v>95</v>
      </c>
      <c r="D74" s="79" t="n">
        <v>1</v>
      </c>
      <c r="E74" s="80" t="n">
        <v>46114</v>
      </c>
      <c r="F74" s="80" t="n">
        <v>46118</v>
      </c>
      <c r="G74" s="44"/>
      <c r="H74" s="45"/>
      <c r="I74" s="52"/>
      <c r="J74" s="52"/>
      <c r="K74" s="52"/>
      <c r="L74" s="52"/>
      <c r="M74" s="52"/>
      <c r="N74" s="52"/>
      <c r="O74" s="52"/>
      <c r="P74" s="52"/>
      <c r="Q74" s="52"/>
      <c r="R74" s="52"/>
      <c r="S74" s="52"/>
      <c r="T74" s="52"/>
      <c r="U74" s="52"/>
      <c r="V74" s="52"/>
      <c r="W74" s="52"/>
      <c r="X74" s="52"/>
      <c r="Y74" s="52"/>
      <c r="Z74" s="52"/>
      <c r="AA74" s="52"/>
      <c r="AB74" s="52"/>
      <c r="AC74" s="52"/>
      <c r="AD74" s="52"/>
      <c r="AE74" s="52"/>
      <c r="AF74" s="52"/>
      <c r="AG74" s="52"/>
      <c r="AH74" s="52"/>
      <c r="AI74" s="52"/>
      <c r="AJ74" s="52"/>
      <c r="AK74" s="52"/>
      <c r="AL74" s="52"/>
      <c r="AM74" s="52"/>
      <c r="AN74" s="52"/>
      <c r="AO74" s="52"/>
      <c r="AP74" s="52"/>
      <c r="AQ74" s="52"/>
      <c r="AR74" s="52"/>
      <c r="AS74" s="52"/>
      <c r="AT74" s="52"/>
      <c r="AU74" s="52"/>
      <c r="AV74" s="52"/>
      <c r="AW74" s="52"/>
      <c r="AX74" s="52"/>
      <c r="AY74" s="52"/>
      <c r="AZ74" s="52"/>
      <c r="BA74" s="52"/>
      <c r="BB74" s="52"/>
      <c r="BC74" s="52"/>
      <c r="BD74" s="52"/>
      <c r="BE74" s="52"/>
      <c r="BF74" s="52"/>
      <c r="BG74" s="52"/>
      <c r="BH74" s="52"/>
      <c r="BI74" s="52"/>
      <c r="BJ74" s="52"/>
      <c r="BK74" s="52"/>
      <c r="BL74" s="52"/>
    </row>
    <row r="75" s="47" customFormat="true" ht="30" hidden="false" customHeight="true" outlineLevel="0" collapsed="false">
      <c r="A75" s="1"/>
      <c r="B75" s="77" t="s">
        <v>103</v>
      </c>
      <c r="C75" s="78" t="s">
        <v>95</v>
      </c>
      <c r="D75" s="79" t="n">
        <v>1</v>
      </c>
      <c r="E75" s="80" t="n">
        <v>46114</v>
      </c>
      <c r="F75" s="80" t="n">
        <v>46118</v>
      </c>
      <c r="G75" s="44"/>
      <c r="H75" s="45"/>
      <c r="I75" s="52"/>
      <c r="J75" s="52"/>
      <c r="K75" s="52"/>
      <c r="L75" s="52"/>
      <c r="M75" s="52"/>
      <c r="N75" s="52"/>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2"/>
      <c r="AV75" s="52"/>
      <c r="AW75" s="52"/>
      <c r="AX75" s="52"/>
      <c r="AY75" s="52"/>
      <c r="AZ75" s="52"/>
      <c r="BA75" s="52"/>
      <c r="BB75" s="52"/>
      <c r="BC75" s="52"/>
      <c r="BD75" s="52"/>
      <c r="BE75" s="52"/>
      <c r="BF75" s="52"/>
      <c r="BG75" s="52"/>
      <c r="BH75" s="52"/>
      <c r="BI75" s="52"/>
      <c r="BJ75" s="52"/>
      <c r="BK75" s="52"/>
      <c r="BL75" s="52"/>
    </row>
    <row r="76" s="47" customFormat="true" ht="30" hidden="false" customHeight="true" outlineLevel="0" collapsed="false">
      <c r="A76" s="1"/>
      <c r="B76" s="77" t="s">
        <v>104</v>
      </c>
      <c r="C76" s="78" t="s">
        <v>98</v>
      </c>
      <c r="D76" s="79" t="n">
        <v>1</v>
      </c>
      <c r="E76" s="80" t="n">
        <v>46101</v>
      </c>
      <c r="F76" s="80" t="n">
        <v>46127</v>
      </c>
      <c r="G76" s="44"/>
      <c r="H76" s="45"/>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row>
    <row r="77" s="47" customFormat="true" ht="30" hidden="false" customHeight="true" outlineLevel="0" collapsed="false">
      <c r="A77" s="1"/>
      <c r="B77" s="77" t="s">
        <v>105</v>
      </c>
      <c r="C77" s="78" t="s">
        <v>95</v>
      </c>
      <c r="D77" s="79" t="n">
        <v>1</v>
      </c>
      <c r="E77" s="80" t="n">
        <v>46101</v>
      </c>
      <c r="F77" s="80" t="n">
        <v>46104</v>
      </c>
      <c r="G77" s="44"/>
      <c r="H77" s="45"/>
      <c r="I77" s="52"/>
      <c r="J77" s="52"/>
      <c r="K77" s="52"/>
      <c r="L77" s="52"/>
      <c r="M77" s="52"/>
      <c r="N77" s="52"/>
      <c r="O77" s="52"/>
      <c r="P77" s="52"/>
      <c r="Q77" s="52"/>
      <c r="R77" s="52"/>
      <c r="S77" s="52"/>
      <c r="T77" s="52"/>
      <c r="U77" s="52"/>
      <c r="V77" s="52"/>
      <c r="W77" s="52"/>
      <c r="X77" s="52"/>
      <c r="Y77" s="52"/>
      <c r="Z77" s="52"/>
      <c r="AA77" s="52"/>
      <c r="AB77" s="52"/>
      <c r="AC77" s="52"/>
      <c r="AD77" s="52"/>
      <c r="AE77" s="52"/>
      <c r="AF77" s="52"/>
      <c r="AG77" s="52"/>
      <c r="AH77" s="52"/>
      <c r="AI77" s="52"/>
      <c r="AJ77" s="52"/>
      <c r="AK77" s="52"/>
      <c r="AL77" s="52"/>
      <c r="AM77" s="52"/>
      <c r="AN77" s="52"/>
      <c r="AO77" s="52"/>
      <c r="AP77" s="52"/>
      <c r="AQ77" s="52"/>
      <c r="AR77" s="52"/>
      <c r="AS77" s="52"/>
      <c r="AT77" s="52"/>
      <c r="AU77" s="52"/>
      <c r="AV77" s="52"/>
      <c r="AW77" s="52"/>
      <c r="AX77" s="52"/>
      <c r="AY77" s="52"/>
      <c r="AZ77" s="52"/>
      <c r="BA77" s="52"/>
      <c r="BB77" s="52"/>
      <c r="BC77" s="52"/>
      <c r="BD77" s="52"/>
      <c r="BE77" s="52"/>
      <c r="BF77" s="52"/>
      <c r="BG77" s="52"/>
      <c r="BH77" s="52"/>
      <c r="BI77" s="52"/>
      <c r="BJ77" s="52"/>
      <c r="BK77" s="52"/>
      <c r="BL77" s="52"/>
    </row>
    <row r="78" s="47" customFormat="true" ht="30" hidden="false" customHeight="true" outlineLevel="0" collapsed="false">
      <c r="A78" s="1"/>
      <c r="B78" s="77" t="s">
        <v>106</v>
      </c>
      <c r="C78" s="78" t="s">
        <v>98</v>
      </c>
      <c r="D78" s="79" t="n">
        <v>1</v>
      </c>
      <c r="E78" s="80" t="n">
        <v>46107</v>
      </c>
      <c r="F78" s="80" t="n">
        <v>46131</v>
      </c>
      <c r="G78" s="44"/>
      <c r="H78" s="45"/>
      <c r="I78" s="52"/>
      <c r="J78" s="52"/>
      <c r="K78" s="52"/>
      <c r="L78" s="52"/>
      <c r="M78" s="52"/>
      <c r="N78" s="52"/>
      <c r="O78" s="52"/>
      <c r="P78" s="52"/>
      <c r="Q78" s="52"/>
      <c r="R78" s="52"/>
      <c r="S78" s="52"/>
      <c r="T78" s="52"/>
      <c r="U78" s="52"/>
      <c r="V78" s="52"/>
      <c r="W78" s="52"/>
      <c r="X78" s="52"/>
      <c r="Y78" s="52"/>
      <c r="Z78" s="52"/>
      <c r="AA78" s="52"/>
      <c r="AB78" s="52"/>
      <c r="AC78" s="52"/>
      <c r="AD78" s="52"/>
      <c r="AE78" s="52"/>
      <c r="AF78" s="52"/>
      <c r="AG78" s="52"/>
      <c r="AH78" s="52"/>
      <c r="AI78" s="52"/>
      <c r="AJ78" s="52"/>
      <c r="AK78" s="52"/>
      <c r="AL78" s="52"/>
      <c r="AM78" s="52"/>
      <c r="AN78" s="52"/>
      <c r="AO78" s="52"/>
      <c r="AP78" s="52"/>
      <c r="AQ78" s="52"/>
      <c r="AR78" s="52"/>
      <c r="AS78" s="52"/>
      <c r="AT78" s="52"/>
      <c r="AU78" s="52"/>
      <c r="AV78" s="52"/>
      <c r="AW78" s="52"/>
      <c r="AX78" s="52"/>
      <c r="AY78" s="52"/>
      <c r="AZ78" s="52"/>
      <c r="BA78" s="52"/>
      <c r="BB78" s="52"/>
      <c r="BC78" s="52"/>
      <c r="BD78" s="52"/>
      <c r="BE78" s="52"/>
      <c r="BF78" s="52"/>
      <c r="BG78" s="52"/>
      <c r="BH78" s="52"/>
      <c r="BI78" s="52"/>
      <c r="BJ78" s="52"/>
      <c r="BK78" s="52"/>
      <c r="BL78" s="52"/>
    </row>
    <row r="79" s="47" customFormat="true" ht="30" hidden="false" customHeight="true" outlineLevel="0" collapsed="false">
      <c r="A79" s="1"/>
      <c r="B79" s="77" t="s">
        <v>107</v>
      </c>
      <c r="C79" s="78" t="s">
        <v>98</v>
      </c>
      <c r="D79" s="79" t="n">
        <v>1</v>
      </c>
      <c r="E79" s="80" t="n">
        <v>46107</v>
      </c>
      <c r="F79" s="80" t="n">
        <v>46131</v>
      </c>
      <c r="G79" s="44"/>
      <c r="H79" s="45"/>
      <c r="I79" s="52"/>
      <c r="J79" s="52"/>
      <c r="K79" s="52"/>
      <c r="L79" s="52"/>
      <c r="M79" s="52"/>
      <c r="N79" s="52"/>
      <c r="O79" s="52"/>
      <c r="P79" s="52"/>
      <c r="Q79" s="52"/>
      <c r="R79" s="52"/>
      <c r="S79" s="52"/>
      <c r="T79" s="52"/>
      <c r="U79" s="52"/>
      <c r="V79" s="52"/>
      <c r="W79" s="52"/>
      <c r="X79" s="52"/>
      <c r="Y79" s="52"/>
      <c r="Z79" s="52"/>
      <c r="AA79" s="52"/>
      <c r="AB79" s="52"/>
      <c r="AC79" s="52"/>
      <c r="AD79" s="52"/>
      <c r="AE79" s="52"/>
      <c r="AF79" s="52"/>
      <c r="AG79" s="52"/>
      <c r="AH79" s="52"/>
      <c r="AI79" s="52"/>
      <c r="AJ79" s="52"/>
      <c r="AK79" s="52"/>
      <c r="AL79" s="52"/>
      <c r="AM79" s="52"/>
      <c r="AN79" s="52"/>
      <c r="AO79" s="52"/>
      <c r="AP79" s="52"/>
      <c r="AQ79" s="52"/>
      <c r="AR79" s="52"/>
      <c r="AS79" s="52"/>
      <c r="AT79" s="52"/>
      <c r="AU79" s="52"/>
      <c r="AV79" s="52"/>
      <c r="AW79" s="52"/>
      <c r="AX79" s="52"/>
      <c r="AY79" s="52"/>
      <c r="AZ79" s="52"/>
      <c r="BA79" s="52"/>
      <c r="BB79" s="52"/>
      <c r="BC79" s="52"/>
      <c r="BD79" s="52"/>
      <c r="BE79" s="52"/>
      <c r="BF79" s="52"/>
      <c r="BG79" s="52"/>
      <c r="BH79" s="52"/>
      <c r="BI79" s="52"/>
      <c r="BJ79" s="52"/>
      <c r="BK79" s="52"/>
      <c r="BL79" s="52"/>
    </row>
    <row r="80" s="47" customFormat="true" ht="30" hidden="false" customHeight="true" outlineLevel="0" collapsed="false">
      <c r="A80" s="1"/>
      <c r="B80" s="77" t="s">
        <v>108</v>
      </c>
      <c r="C80" s="78" t="s">
        <v>98</v>
      </c>
      <c r="D80" s="79" t="n">
        <v>1</v>
      </c>
      <c r="E80" s="80"/>
      <c r="F80" s="80"/>
      <c r="G80" s="44"/>
      <c r="H80" s="45"/>
      <c r="I80" s="52"/>
      <c r="J80" s="52"/>
      <c r="K80" s="52"/>
      <c r="L80" s="52"/>
      <c r="M80" s="52"/>
      <c r="N80" s="52"/>
      <c r="O80" s="52"/>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row>
    <row r="81" s="47" customFormat="true" ht="30" hidden="false" customHeight="true" outlineLevel="0" collapsed="false">
      <c r="A81" s="1"/>
      <c r="B81" s="77" t="s">
        <v>109</v>
      </c>
      <c r="C81" s="78" t="s">
        <v>95</v>
      </c>
      <c r="D81" s="79" t="n">
        <v>1</v>
      </c>
      <c r="E81" s="80" t="n">
        <v>46101</v>
      </c>
      <c r="F81" s="80" t="n">
        <v>46104</v>
      </c>
      <c r="G81" s="44"/>
      <c r="H81" s="45"/>
      <c r="I81" s="52"/>
      <c r="J81" s="52"/>
      <c r="K81" s="52"/>
      <c r="L81" s="52"/>
      <c r="M81" s="52"/>
      <c r="N81" s="52"/>
      <c r="O81" s="52"/>
      <c r="P81" s="52"/>
      <c r="Q81" s="52"/>
      <c r="R81" s="52"/>
      <c r="S81" s="52"/>
      <c r="T81" s="52"/>
      <c r="U81" s="52"/>
      <c r="V81" s="52"/>
      <c r="W81" s="52"/>
      <c r="X81" s="52"/>
      <c r="Y81" s="52"/>
      <c r="Z81" s="52"/>
      <c r="AA81" s="52"/>
      <c r="AB81" s="52"/>
      <c r="AC81" s="52"/>
      <c r="AD81" s="52"/>
      <c r="AE81" s="52"/>
      <c r="AF81" s="52"/>
      <c r="AG81" s="52"/>
      <c r="AH81" s="52"/>
      <c r="AI81" s="52"/>
      <c r="AJ81" s="52"/>
      <c r="AK81" s="52"/>
      <c r="AL81" s="52"/>
      <c r="AM81" s="52"/>
      <c r="AN81" s="52"/>
      <c r="AO81" s="52"/>
      <c r="AP81" s="52"/>
      <c r="AQ81" s="52"/>
      <c r="AR81" s="52"/>
      <c r="AS81" s="52"/>
      <c r="AT81" s="52"/>
      <c r="AU81" s="52"/>
      <c r="AV81" s="52"/>
      <c r="AW81" s="52"/>
      <c r="AX81" s="52"/>
      <c r="AY81" s="52"/>
      <c r="AZ81" s="52"/>
      <c r="BA81" s="52"/>
      <c r="BB81" s="52"/>
      <c r="BC81" s="52"/>
      <c r="BD81" s="52"/>
      <c r="BE81" s="52"/>
      <c r="BF81" s="52"/>
      <c r="BG81" s="52"/>
      <c r="BH81" s="52"/>
      <c r="BI81" s="52"/>
      <c r="BJ81" s="52"/>
      <c r="BK81" s="52"/>
      <c r="BL81" s="52"/>
    </row>
    <row r="82" s="47" customFormat="true" ht="30" hidden="false" customHeight="true" outlineLevel="0" collapsed="false">
      <c r="A82" s="1"/>
      <c r="B82" s="77" t="s">
        <v>110</v>
      </c>
      <c r="C82" s="78" t="s">
        <v>95</v>
      </c>
      <c r="D82" s="79" t="n">
        <v>1</v>
      </c>
      <c r="E82" s="80" t="n">
        <v>46113</v>
      </c>
      <c r="F82" s="80" t="n">
        <v>46118</v>
      </c>
      <c r="G82" s="44"/>
      <c r="H82" s="45"/>
      <c r="I82" s="52"/>
      <c r="J82" s="52"/>
      <c r="K82" s="52"/>
      <c r="L82" s="52"/>
      <c r="M82" s="52"/>
      <c r="N82" s="52"/>
      <c r="O82" s="52"/>
      <c r="P82" s="52"/>
      <c r="Q82" s="52"/>
      <c r="R82" s="52"/>
      <c r="S82" s="52"/>
      <c r="T82" s="52"/>
      <c r="U82" s="52"/>
      <c r="V82" s="52"/>
      <c r="W82" s="52"/>
      <c r="X82" s="52"/>
      <c r="Y82" s="52"/>
      <c r="Z82" s="52"/>
      <c r="AA82" s="52"/>
      <c r="AB82" s="52"/>
      <c r="AC82" s="52"/>
      <c r="AD82" s="52"/>
      <c r="AE82" s="52"/>
      <c r="AF82" s="52"/>
      <c r="AG82" s="52"/>
      <c r="AH82" s="52"/>
      <c r="AI82" s="52"/>
      <c r="AJ82" s="52"/>
      <c r="AK82" s="52"/>
      <c r="AL82" s="52"/>
      <c r="AM82" s="52"/>
      <c r="AN82" s="52"/>
      <c r="AO82" s="52"/>
      <c r="AP82" s="52"/>
      <c r="AQ82" s="52"/>
      <c r="AR82" s="52"/>
      <c r="AS82" s="52"/>
      <c r="AT82" s="52"/>
      <c r="AU82" s="52"/>
      <c r="AV82" s="52"/>
      <c r="AW82" s="52"/>
      <c r="AX82" s="52"/>
      <c r="AY82" s="52"/>
      <c r="AZ82" s="52"/>
      <c r="BA82" s="52"/>
      <c r="BB82" s="52"/>
      <c r="BC82" s="52"/>
      <c r="BD82" s="52"/>
      <c r="BE82" s="52"/>
      <c r="BF82" s="52"/>
      <c r="BG82" s="52"/>
      <c r="BH82" s="52"/>
      <c r="BI82" s="52"/>
      <c r="BJ82" s="52"/>
      <c r="BK82" s="52"/>
      <c r="BL82" s="52"/>
    </row>
    <row r="83" s="47" customFormat="true" ht="30" hidden="false" customHeight="true" outlineLevel="0" collapsed="false">
      <c r="A83" s="1"/>
      <c r="B83" s="77" t="s">
        <v>111</v>
      </c>
      <c r="C83" s="78" t="s">
        <v>95</v>
      </c>
      <c r="D83" s="79" t="n">
        <v>1</v>
      </c>
      <c r="E83" s="80" t="n">
        <v>46113</v>
      </c>
      <c r="F83" s="80" t="n">
        <v>46118</v>
      </c>
      <c r="G83" s="44"/>
      <c r="H83" s="45"/>
      <c r="I83" s="52"/>
      <c r="J83" s="52"/>
      <c r="K83" s="52"/>
      <c r="L83" s="52"/>
      <c r="M83" s="52"/>
      <c r="N83" s="52"/>
      <c r="O83" s="52"/>
      <c r="P83" s="52"/>
      <c r="Q83" s="52"/>
      <c r="R83" s="52"/>
      <c r="S83" s="52"/>
      <c r="T83" s="52"/>
      <c r="U83" s="52"/>
      <c r="V83" s="52"/>
      <c r="W83" s="52"/>
      <c r="X83" s="52"/>
      <c r="Y83" s="52"/>
      <c r="Z83" s="52"/>
      <c r="AA83" s="52"/>
      <c r="AB83" s="52"/>
      <c r="AC83" s="52"/>
      <c r="AD83" s="52"/>
      <c r="AE83" s="52"/>
      <c r="AF83" s="52"/>
      <c r="AG83" s="52"/>
      <c r="AH83" s="52"/>
      <c r="AI83" s="52"/>
      <c r="AJ83" s="52"/>
      <c r="AK83" s="52"/>
      <c r="AL83" s="52"/>
      <c r="AM83" s="52"/>
      <c r="AN83" s="52"/>
      <c r="AO83" s="52"/>
      <c r="AP83" s="52"/>
      <c r="AQ83" s="52"/>
      <c r="AR83" s="52"/>
      <c r="AS83" s="52"/>
      <c r="AT83" s="52"/>
      <c r="AU83" s="52"/>
      <c r="AV83" s="52"/>
      <c r="AW83" s="52"/>
      <c r="AX83" s="52"/>
      <c r="AY83" s="52"/>
      <c r="AZ83" s="52"/>
      <c r="BA83" s="52"/>
      <c r="BB83" s="52"/>
      <c r="BC83" s="52"/>
      <c r="BD83" s="52"/>
      <c r="BE83" s="52"/>
      <c r="BF83" s="52"/>
      <c r="BG83" s="52"/>
      <c r="BH83" s="52"/>
      <c r="BI83" s="52"/>
      <c r="BJ83" s="52"/>
      <c r="BK83" s="52"/>
      <c r="BL83" s="52"/>
    </row>
    <row r="84" s="47" customFormat="true" ht="30" hidden="false" customHeight="true" outlineLevel="0" collapsed="false">
      <c r="A84" s="1"/>
      <c r="B84" s="77" t="s">
        <v>112</v>
      </c>
      <c r="C84" s="78" t="s">
        <v>95</v>
      </c>
      <c r="D84" s="79" t="n">
        <v>1</v>
      </c>
      <c r="E84" s="80" t="n">
        <v>46113</v>
      </c>
      <c r="F84" s="80" t="n">
        <v>46118</v>
      </c>
      <c r="G84" s="44"/>
      <c r="H84" s="45"/>
      <c r="I84" s="52"/>
      <c r="J84" s="52"/>
      <c r="K84" s="52"/>
      <c r="L84" s="52"/>
      <c r="M84" s="52"/>
      <c r="N84" s="52"/>
      <c r="O84" s="52"/>
      <c r="P84" s="52"/>
      <c r="Q84" s="52"/>
      <c r="R84" s="52"/>
      <c r="S84" s="52"/>
      <c r="T84" s="52"/>
      <c r="U84" s="52"/>
      <c r="V84" s="52"/>
      <c r="W84" s="52"/>
      <c r="X84" s="52"/>
      <c r="Y84" s="52"/>
      <c r="Z84" s="52"/>
      <c r="AA84" s="52"/>
      <c r="AB84" s="52"/>
      <c r="AC84" s="52"/>
      <c r="AD84" s="52"/>
      <c r="AE84" s="52"/>
      <c r="AF84" s="52"/>
      <c r="AG84" s="52"/>
      <c r="AH84" s="52"/>
      <c r="AI84" s="52"/>
      <c r="AJ84" s="52"/>
      <c r="AK84" s="52"/>
      <c r="AL84" s="52"/>
      <c r="AM84" s="52"/>
      <c r="AN84" s="52"/>
      <c r="AO84" s="52"/>
      <c r="AP84" s="52"/>
      <c r="AQ84" s="52"/>
      <c r="AR84" s="52"/>
      <c r="AS84" s="52"/>
      <c r="AT84" s="52"/>
      <c r="AU84" s="52"/>
      <c r="AV84" s="52"/>
      <c r="AW84" s="52"/>
      <c r="AX84" s="52"/>
      <c r="AY84" s="52"/>
      <c r="AZ84" s="52"/>
      <c r="BA84" s="52"/>
      <c r="BB84" s="52"/>
      <c r="BC84" s="52"/>
      <c r="BD84" s="52"/>
      <c r="BE84" s="52"/>
      <c r="BF84" s="52"/>
      <c r="BG84" s="52"/>
      <c r="BH84" s="52"/>
      <c r="BI84" s="52"/>
      <c r="BJ84" s="52"/>
      <c r="BK84" s="52"/>
      <c r="BL84" s="52"/>
    </row>
    <row r="85" s="47" customFormat="true" ht="30" hidden="false" customHeight="true" outlineLevel="0" collapsed="false">
      <c r="A85" s="1"/>
      <c r="B85" s="73" t="s">
        <v>113</v>
      </c>
      <c r="C85" s="74"/>
      <c r="D85" s="75"/>
      <c r="E85" s="76" t="n">
        <v>46090</v>
      </c>
      <c r="F85" s="76" t="n">
        <v>46131</v>
      </c>
      <c r="G85" s="44"/>
      <c r="H85" s="45"/>
      <c r="I85" s="52"/>
      <c r="J85" s="52"/>
      <c r="K85" s="52"/>
      <c r="L85" s="52"/>
      <c r="M85" s="52"/>
      <c r="N85" s="52"/>
      <c r="O85" s="52"/>
      <c r="P85" s="52"/>
      <c r="Q85" s="52"/>
      <c r="R85" s="52"/>
      <c r="S85" s="52"/>
      <c r="T85" s="52"/>
      <c r="U85" s="52"/>
      <c r="V85" s="52"/>
      <c r="W85" s="52"/>
      <c r="X85" s="52"/>
      <c r="Y85" s="52"/>
      <c r="Z85" s="52"/>
      <c r="AA85" s="52"/>
      <c r="AB85" s="52"/>
      <c r="AC85" s="52"/>
      <c r="AD85" s="52"/>
      <c r="AE85" s="52"/>
      <c r="AF85" s="52"/>
      <c r="AG85" s="52"/>
      <c r="AH85" s="52"/>
      <c r="AI85" s="52"/>
      <c r="AJ85" s="52"/>
      <c r="AK85" s="52"/>
      <c r="AL85" s="52"/>
      <c r="AM85" s="52"/>
      <c r="AN85" s="52"/>
      <c r="AO85" s="52"/>
      <c r="AP85" s="52"/>
      <c r="AQ85" s="52"/>
      <c r="AR85" s="52"/>
      <c r="AS85" s="52"/>
      <c r="AT85" s="52"/>
      <c r="AU85" s="52"/>
      <c r="AV85" s="52"/>
      <c r="AW85" s="52"/>
      <c r="AX85" s="52"/>
      <c r="AY85" s="52"/>
      <c r="AZ85" s="52"/>
      <c r="BA85" s="52"/>
      <c r="BB85" s="52"/>
      <c r="BC85" s="52"/>
      <c r="BD85" s="52"/>
      <c r="BE85" s="52"/>
      <c r="BF85" s="52"/>
      <c r="BG85" s="52"/>
      <c r="BH85" s="52"/>
      <c r="BI85" s="52"/>
      <c r="BJ85" s="52"/>
      <c r="BK85" s="52"/>
      <c r="BL85" s="52"/>
    </row>
    <row r="86" s="47" customFormat="true" ht="30" hidden="false" customHeight="true" outlineLevel="0" collapsed="false">
      <c r="A86" s="1"/>
      <c r="B86" s="77" t="s">
        <v>114</v>
      </c>
      <c r="C86" s="78" t="s">
        <v>39</v>
      </c>
      <c r="D86" s="79"/>
      <c r="E86" s="80"/>
      <c r="F86" s="80"/>
      <c r="G86" s="44"/>
      <c r="H86" s="45"/>
      <c r="I86" s="52"/>
      <c r="J86" s="52"/>
      <c r="K86" s="52"/>
      <c r="L86" s="52"/>
      <c r="M86" s="52"/>
      <c r="N86" s="52"/>
      <c r="O86" s="52"/>
      <c r="P86" s="52"/>
      <c r="Q86" s="52"/>
      <c r="R86" s="52"/>
      <c r="S86" s="52"/>
      <c r="T86" s="52"/>
      <c r="U86" s="52"/>
      <c r="V86" s="52"/>
      <c r="W86" s="52"/>
      <c r="X86" s="52"/>
      <c r="Y86" s="52"/>
      <c r="Z86" s="52"/>
      <c r="AA86" s="52"/>
      <c r="AB86" s="52"/>
      <c r="AC86" s="52"/>
      <c r="AD86" s="52"/>
      <c r="AE86" s="52"/>
      <c r="AF86" s="52"/>
      <c r="AG86" s="52"/>
      <c r="AH86" s="52"/>
      <c r="AI86" s="52"/>
      <c r="AJ86" s="52"/>
      <c r="AK86" s="52"/>
      <c r="AL86" s="52"/>
      <c r="AM86" s="52"/>
      <c r="AN86" s="52"/>
      <c r="AO86" s="52"/>
      <c r="AP86" s="52"/>
      <c r="AQ86" s="52"/>
      <c r="AR86" s="52"/>
      <c r="AS86" s="52"/>
      <c r="AT86" s="52"/>
      <c r="AU86" s="52"/>
      <c r="AV86" s="52"/>
      <c r="AW86" s="52"/>
      <c r="AX86" s="52"/>
      <c r="AY86" s="52"/>
      <c r="AZ86" s="52"/>
      <c r="BA86" s="52"/>
      <c r="BB86" s="52"/>
      <c r="BC86" s="52"/>
      <c r="BD86" s="52"/>
      <c r="BE86" s="52"/>
      <c r="BF86" s="52"/>
      <c r="BG86" s="52"/>
      <c r="BH86" s="52"/>
      <c r="BI86" s="52"/>
      <c r="BJ86" s="52"/>
      <c r="BK86" s="52"/>
      <c r="BL86" s="52"/>
    </row>
    <row r="87" s="47" customFormat="true" ht="30" hidden="false" customHeight="true" outlineLevel="0" collapsed="false">
      <c r="A87" s="1"/>
      <c r="B87" s="73" t="s">
        <v>115</v>
      </c>
      <c r="C87" s="74"/>
      <c r="D87" s="75"/>
      <c r="E87" s="76" t="n">
        <v>46123</v>
      </c>
      <c r="F87" s="76" t="n">
        <v>46138</v>
      </c>
      <c r="G87" s="44"/>
      <c r="H87" s="45"/>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row>
    <row r="88" s="47" customFormat="true" ht="30" hidden="false" customHeight="true" outlineLevel="0" collapsed="false">
      <c r="A88" s="1"/>
      <c r="B88" s="77" t="s">
        <v>116</v>
      </c>
      <c r="C88" s="78" t="s">
        <v>117</v>
      </c>
      <c r="D88" s="79" t="n">
        <v>1</v>
      </c>
      <c r="E88" s="80" t="n">
        <v>46124</v>
      </c>
      <c r="F88" s="80" t="n">
        <v>46138</v>
      </c>
      <c r="G88" s="44"/>
      <c r="H88" s="45"/>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row>
    <row r="89" s="47" customFormat="true" ht="30" hidden="false" customHeight="true" outlineLevel="0" collapsed="false">
      <c r="A89" s="1"/>
      <c r="B89" s="77" t="s">
        <v>118</v>
      </c>
      <c r="C89" s="78" t="s">
        <v>15</v>
      </c>
      <c r="D89" s="79" t="n">
        <v>1</v>
      </c>
      <c r="E89" s="80" t="n">
        <v>46132</v>
      </c>
      <c r="F89" s="80" t="n">
        <v>46138</v>
      </c>
      <c r="G89" s="44"/>
      <c r="H89" s="45"/>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row>
    <row r="90" s="47" customFormat="true" ht="30" hidden="false" customHeight="true" outlineLevel="0" collapsed="false">
      <c r="A90" s="1"/>
      <c r="B90" s="77"/>
      <c r="C90" s="78"/>
      <c r="D90" s="79"/>
      <c r="E90" s="80"/>
      <c r="F90" s="80"/>
      <c r="G90" s="44"/>
      <c r="H90" s="45"/>
      <c r="I90" s="52"/>
      <c r="J90" s="52"/>
      <c r="K90" s="52"/>
      <c r="L90" s="52"/>
      <c r="M90" s="52"/>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row>
    <row r="91" s="47" customFormat="true" ht="30" hidden="false" customHeight="true" outlineLevel="0" collapsed="false">
      <c r="A91" s="1"/>
      <c r="B91" s="77"/>
      <c r="C91" s="78"/>
      <c r="D91" s="79"/>
      <c r="E91" s="80"/>
      <c r="F91" s="80"/>
      <c r="G91" s="44"/>
      <c r="H91" s="45"/>
      <c r="I91" s="52"/>
      <c r="J91" s="52"/>
      <c r="K91" s="52"/>
      <c r="L91" s="52"/>
      <c r="M91" s="52"/>
      <c r="N91" s="52"/>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2"/>
      <c r="AV91" s="52"/>
      <c r="AW91" s="52"/>
      <c r="AX91" s="52"/>
      <c r="AY91" s="52"/>
      <c r="AZ91" s="52"/>
      <c r="BA91" s="52"/>
      <c r="BB91" s="52"/>
      <c r="BC91" s="52"/>
      <c r="BD91" s="52"/>
      <c r="BE91" s="52"/>
      <c r="BF91" s="52"/>
      <c r="BG91" s="52"/>
      <c r="BH91" s="52"/>
      <c r="BI91" s="52"/>
      <c r="BJ91" s="52"/>
      <c r="BK91" s="52"/>
      <c r="BL91" s="52"/>
    </row>
    <row r="92" s="47" customFormat="true" ht="30" hidden="false" customHeight="true" outlineLevel="0" collapsed="false">
      <c r="A92" s="1"/>
      <c r="B92" s="77"/>
      <c r="C92" s="78"/>
      <c r="D92" s="79"/>
      <c r="E92" s="80"/>
      <c r="F92" s="80"/>
      <c r="G92" s="44"/>
      <c r="H92" s="45"/>
      <c r="I92" s="52"/>
      <c r="J92" s="52"/>
      <c r="K92" s="52"/>
      <c r="L92" s="52"/>
      <c r="M92" s="52"/>
      <c r="N92" s="52"/>
      <c r="O92" s="52"/>
      <c r="P92" s="52"/>
      <c r="Q92" s="52"/>
      <c r="R92" s="52"/>
      <c r="S92" s="52"/>
      <c r="T92" s="52"/>
      <c r="U92" s="52"/>
      <c r="V92" s="52"/>
      <c r="W92" s="52"/>
      <c r="X92" s="52"/>
      <c r="Y92" s="52"/>
      <c r="Z92" s="52"/>
      <c r="AA92" s="52"/>
      <c r="AB92" s="52"/>
      <c r="AC92" s="52"/>
      <c r="AD92" s="52"/>
      <c r="AE92" s="52"/>
      <c r="AF92" s="52"/>
      <c r="AG92" s="52"/>
      <c r="AH92" s="52"/>
      <c r="AI92" s="52"/>
      <c r="AJ92" s="52"/>
      <c r="AK92" s="52"/>
      <c r="AL92" s="52"/>
      <c r="AM92" s="52"/>
      <c r="AN92" s="52"/>
      <c r="AO92" s="52"/>
      <c r="AP92" s="52"/>
      <c r="AQ92" s="52"/>
      <c r="AR92" s="52"/>
      <c r="AS92" s="52"/>
      <c r="AT92" s="52"/>
      <c r="AU92" s="52"/>
      <c r="AV92" s="52"/>
      <c r="AW92" s="52"/>
      <c r="AX92" s="52"/>
      <c r="AY92" s="52"/>
      <c r="AZ92" s="52"/>
      <c r="BA92" s="52"/>
      <c r="BB92" s="52"/>
      <c r="BC92" s="52"/>
      <c r="BD92" s="52"/>
      <c r="BE92" s="52"/>
      <c r="BF92" s="52"/>
      <c r="BG92" s="52"/>
      <c r="BH92" s="52"/>
      <c r="BI92" s="52"/>
      <c r="BJ92" s="52"/>
      <c r="BK92" s="52"/>
      <c r="BL92" s="52"/>
    </row>
    <row r="93" s="47" customFormat="true" ht="30" hidden="false" customHeight="true" outlineLevel="0" collapsed="false">
      <c r="A93" s="1"/>
      <c r="B93" s="77"/>
      <c r="C93" s="78"/>
      <c r="D93" s="79"/>
      <c r="E93" s="80"/>
      <c r="F93" s="80"/>
      <c r="G93" s="44"/>
      <c r="H93" s="45"/>
      <c r="I93" s="52"/>
      <c r="J93" s="52"/>
      <c r="K93" s="52"/>
      <c r="L93" s="52"/>
      <c r="M93" s="52"/>
      <c r="N93" s="52"/>
      <c r="O93" s="52"/>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row>
    <row r="94" s="47" customFormat="true" ht="30" hidden="false" customHeight="true" outlineLevel="0" collapsed="false">
      <c r="A94" s="1"/>
      <c r="B94" s="81"/>
      <c r="C94" s="82"/>
      <c r="D94" s="83"/>
      <c r="E94" s="84"/>
      <c r="F94" s="84"/>
      <c r="G94" s="44"/>
      <c r="H94" s="45" t="str">
        <f aca="false">IF(OR(ISBLANK(task_start),ISBLANK(task_end)),"",task_end-task_start+1)</f>
        <v/>
      </c>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row>
    <row r="95" s="47" customFormat="true" ht="30" hidden="false" customHeight="true" outlineLevel="0" collapsed="false">
      <c r="A95" s="4"/>
      <c r="B95" s="85" t="s">
        <v>119</v>
      </c>
      <c r="C95" s="86"/>
      <c r="D95" s="87"/>
      <c r="E95" s="88"/>
      <c r="F95" s="89"/>
      <c r="G95" s="44"/>
      <c r="H95" s="90" t="str">
        <f aca="false">IF(OR(ISBLANK(task_start),ISBLANK(task_end)),"",task_end-task_start+1)</f>
        <v/>
      </c>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91"/>
      <c r="AH95" s="91"/>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row>
    <row r="96" customFormat="false" ht="30" hidden="false" customHeight="true" outlineLevel="0" collapsed="false">
      <c r="G96" s="92"/>
    </row>
    <row r="97" customFormat="false" ht="30" hidden="false" customHeight="true" outlineLevel="0" collapsed="false">
      <c r="C97" s="93"/>
      <c r="F97" s="94"/>
    </row>
    <row r="98" customFormat="false" ht="30" hidden="false" customHeight="true" outlineLevel="0" collapsed="false">
      <c r="C98" s="95"/>
    </row>
  </sheetData>
  <mergeCells count="18">
    <mergeCell ref="I1:O1"/>
    <mergeCell ref="Q1:Z1"/>
    <mergeCell ref="I2:O2"/>
    <mergeCell ref="Q2:Z2"/>
    <mergeCell ref="I4:O4"/>
    <mergeCell ref="P4:V4"/>
    <mergeCell ref="W4:AC4"/>
    <mergeCell ref="AD4:AJ4"/>
    <mergeCell ref="AK4:AQ4"/>
    <mergeCell ref="AR4:AX4"/>
    <mergeCell ref="AY4:BE4"/>
    <mergeCell ref="BF4:BL4"/>
    <mergeCell ref="A5:A6"/>
    <mergeCell ref="B5:B6"/>
    <mergeCell ref="C5:C6"/>
    <mergeCell ref="D5:D6"/>
    <mergeCell ref="E5:E6"/>
    <mergeCell ref="F5:F6"/>
  </mergeCells>
  <conditionalFormatting sqref="I4:BL93">
    <cfRule type="expression" priority="2" aboveAverage="0" equalAverage="0" bottom="0" percent="0" rank="0" text="" dxfId="0">
      <formula>AND(TODAY()&gt;=I$5, TODAY()&lt;J$5)</formula>
    </cfRule>
  </conditionalFormatting>
  <conditionalFormatting sqref="I25:BL93">
    <cfRule type="expression" priority="3" aboveAverage="0" equalAverage="0" bottom="0" percent="0" rank="0" text="" dxfId="1">
      <formula>AND(task_start&lt;=I$5,ROUNDDOWN((task_end-task_start+1)*task_progress,0)+task_start-1&gt;=I$5)</formula>
    </cfRule>
    <cfRule type="expression" priority="4" aboveAverage="0" equalAverage="0" bottom="0" percent="0" rank="0" text="" dxfId="2">
      <formula>AND(task_end&gt;=I$5,task_start&lt;J$5)</formula>
    </cfRule>
  </conditionalFormatting>
  <conditionalFormatting sqref="I13:BL23">
    <cfRule type="expression" priority="5" aboveAverage="0" equalAverage="0" bottom="0" percent="0" rank="0" text="" dxfId="3">
      <formula>AND(task_start&lt;=I$5,ROUNDDOWN((task_end-task_start+1)*task_progress,0)+task_start-1&gt;=I$5)</formula>
    </cfRule>
    <cfRule type="expression" priority="6" aboveAverage="0" equalAverage="0" bottom="0" percent="0" rank="0" text="" dxfId="4">
      <formula>AND(task_end&gt;=I$5,task_start&lt;J$5)</formula>
    </cfRule>
  </conditionalFormatting>
  <conditionalFormatting sqref="I9:BL11">
    <cfRule type="expression" priority="7" aboveAverage="0" equalAverage="0" bottom="0" percent="0" rank="0" text="" dxfId="5">
      <formula>AND(task_start&lt;=I$5,ROUNDDOWN((task_end-task_start+1)*task_progress,0)+task_start-1&gt;=I$5)</formula>
    </cfRule>
    <cfRule type="expression" priority="8" aboveAverage="0" equalAverage="0" bottom="0" percent="0" rank="0" text="" dxfId="6">
      <formula>AND(task_end&gt;=I$5,task_start&lt;J$5)</formula>
    </cfRule>
  </conditionalFormatting>
  <conditionalFormatting sqref="D24:D95 D7:D15">
    <cfRule type="dataBar" priority="9">
      <dataBar showValue="1" minLength="10" maxLength="90">
        <cfvo type="num" val="0"/>
        <cfvo type="num" val="1"/>
        <color rgb="FFFFFFFF"/>
      </dataBar>
      <extLst>
        <ext xmlns:x14="http://schemas.microsoft.com/office/spreadsheetml/2009/9/main" uri="{B025F937-C7B1-47D3-B67F-A62EFF666E3E}">
          <x14:id>{7B549E5A-D8C7-44B7-9622-79FB943F331E}</x14:id>
        </ext>
      </extLst>
    </cfRule>
  </conditionalFormatting>
  <conditionalFormatting sqref="D16:D23">
    <cfRule type="dataBar" priority="10">
      <dataBar showValue="1" minLength="10" maxLength="90">
        <cfvo type="num" val="0"/>
        <cfvo type="num" val="1"/>
        <color rgb="FFFFFFFF"/>
      </dataBar>
      <extLst>
        <ext xmlns:x14="http://schemas.microsoft.com/office/spreadsheetml/2009/9/main" uri="{B025F937-C7B1-47D3-B67F-A62EFF666E3E}">
          <x14:id>{80E6867B-BB66-4B14-B4AF-F874F38A9010}</x14:id>
        </ext>
      </extLst>
    </cfRule>
  </conditionalFormatting>
  <dataValidations count="12">
    <dataValidation allowBlank="true" errorStyle="stop" operator="greaterThanOrEqual" prompt="Changing this number will scroll the Gantt Chart view." promptTitle="Display Week" showDropDown="false" showErrorMessage="false" showInputMessage="true" sqref="Q2" type="whole">
      <formula1>1</formula1>
      <formula2>0</formula2>
    </dataValidation>
    <dataValidation allowBlank="true" errorStyle="stop" operator="between" prompt="Create a Project Schedule in this worksheet.&#10;Enter title of this project in cell B1. &#10;Information on how to use this worksheet, including instructions for screen readers and the author of this workbook, is in the About worksheet.&#10;" showDropDown="false" showErrorMessage="true" showInputMessage="true" sqref="A1" type="none">
      <formula1>0</formula1>
      <formula2>0</formula2>
    </dataValidation>
    <dataValidation allowBlank="true" errorStyle="stop" operator="between" prompt="Enter Company name in cel B2." showDropDown="false" showErrorMessage="true" showInputMessage="true" sqref="A2" type="none">
      <formula1>0</formula1>
      <formula2>0</formula2>
    </dataValidation>
    <dataValidation allowBlank="true" errorStyle="stop" operator="between" prompt="Enter the name of the Project Lead in cell C3. Enter the Project Start date in cell Q1. Project Start: label is in cell I1." showDropDown="false" showErrorMessage="true" showInputMessage="true" sqref="A3" type="none">
      <formula1>0</formula1>
      <formula2>0</formula2>
    </dataValidation>
    <dataValidation allowBlank="true" errorStyle="stop" operator="between" prompt="The Display week in cell Q2 is the starting week to display in the project schedule in cell I4. The project start date is Week 1. To change the display week, enter a new week number in cell Q2.&#10;&#10;Start date for each week is auto calculated starting in I4." showDropDown="false" showErrorMessage="true" showInputMessage="true" sqref="A4" type="none">
      <formula1>0</formula1>
      <formula2>0</formula2>
    </dataValidation>
    <dataValidation allowBlank="true" errorStyle="stop" operator="between" prompt="Cells I5 through BL5 contain the day number for the week represented in the cell block above each date and are auto calculated.&#10;&#10;Today's date is outlined from today's date in row 5 through the entire date column to the end of the project schedule." showDropDown="false" showErrorMessage="true" showInputMessage="true" sqref="A5:A6" type="none">
      <formula1>0</formula1>
      <formula2>0</formula2>
    </dataValidation>
    <dataValidation allowBlank="true" errorStyle="stop" operator="between" prompt="Cell B8 contains the Phase 1 sample title. Enter a new title in cell B8.&#10;To delete the phase and work only from tasks, simply delete this row." showDropDown="false" showErrorMessage="true" showInputMessage="true" sqref="A8" type="none">
      <formula1>0</formula1>
      <formula2>0</formula2>
    </dataValidation>
    <dataValidation allowBlank="true" errorStyle="stop" operator="between" prompt="B9 contains the task name.  C9 is the assignee.  D9 is a progress bar that shades based on the number entered into the cell.  &#10;&#10;E9 contains the start date and F9 contains the end date.&#10;&#10;The Gantt chart will fill in starting in cell I9 based on task dates." showDropDown="false" showErrorMessage="true" showInputMessage="true" sqref="A9" type="none">
      <formula1>0</formula1>
      <formula2>0</formula2>
    </dataValidation>
    <dataValidation allowBlank="true" errorStyle="stop" operator="between" prompt="Rows 10 through 13 repeat the pattern from row 9. &#10;&#10;Repeat the instructions from cell A9 for all task rows in this worksheet. &#10;&#10;Continue entering tasks in cells A10 through A13 or go to cell A14 to learn more." showDropDown="false" showErrorMessage="true" showInputMessage="true" sqref="A10" type="none">
      <formula1>0</formula1>
      <formula2>0</formula2>
    </dataValidation>
    <dataValidation allowBlank="true" errorStyle="stop" operator="between" prompt="Cell B14 contains the Phase 2 sample title. Enter a new title in cell B14.&#10;To delete the phase and work only from tasks, simply delete this row. To remove the phase, simply delete the row. Add tasks to previous phase by entering a new row above this one.&#10;" showDropDown="false" showErrorMessage="true" showInputMessage="true" sqref="A12" type="none">
      <formula1>0</formula1>
      <formula2>0</formula2>
    </dataValidation>
    <dataValidation allowBlank="true" errorStyle="stop" operator="between" prompt="Phase 3's sample block starts in cell B20." showDropDown="false" showErrorMessage="true" showInputMessage="true" sqref="A24" type="none">
      <formula1>0</formula1>
      <formula2>0</formula2>
    </dataValidation>
    <dataValidation allowBlank="true" errorStyle="stop" operator="between" prompt="This row marks the end of the Project Schedule. DO NOT enter anything in this row. &#10;Insert new rows ABOVE this one to continue building out your Project Schedule." showDropDown="false" showErrorMessage="true" showInputMessage="true" sqref="A95" type="none">
      <formula1>0</formula1>
      <formula2>0</formula2>
    </dataValidation>
  </dataValidations>
  <printOptions headings="false" gridLines="false" gridLinesSet="true" horizontalCentered="true" verticalCentered="false"/>
  <pageMargins left="0.35" right="0.35" top="0.35" bottom="0.347222222222222" header="0.511811023622047" footer="0.3"/>
  <pageSetup paperSize="1" scale="100" fitToWidth="1" fitToHeight="0" pageOrder="downThenOver" orientation="landscape" blackAndWhite="false" draft="false" cellComments="none" horizontalDpi="300" verticalDpi="300" copies="1"/>
  <headerFooter differentFirst="true" differentOddEven="false">
    <oddHeader/>
    <oddFooter>&amp;CPage &amp;P of &amp;N</oddFooter>
    <firstHeader/>
    <firstFooter/>
  </headerFooter>
  <extLst>
    <ext xmlns:x14="http://schemas.microsoft.com/office/spreadsheetml/2009/9/main" uri="{78C0D931-6437-407d-A8EE-F0AAD7539E65}">
      <x14:conditionalFormattings>
        <x14:conditionalFormatting xmlns:xm="http://schemas.microsoft.com/office/excel/2006/main">
          <x14:cfRule type="dataBar" id="{7B549E5A-D8C7-44B7-9622-79FB943F331E}">
            <x14:dataBar minLength="10" maxLength="90" axisPosition="automatic" gradient="false">
              <x14:cfvo type="num">
                <xm:f>0</xm:f>
              </x14:cfvo>
              <x14:cfvo type="num">
                <xm:f>1</xm:f>
              </x14:cfvo>
              <x14:negativeFillColor rgb="FFFF0000"/>
              <x14:axisColor rgb="FF000000"/>
            </x14:dataBar>
          </x14:cfRule>
          <xm:sqref>D24:D95 D7:D15</xm:sqref>
        </x14:conditionalFormatting>
        <x14:conditionalFormatting xmlns:xm="http://schemas.microsoft.com/office/excel/2006/main">
          <x14:cfRule type="dataBar" id="{80E6867B-BB66-4B14-B4AF-F874F38A9010}">
            <x14:dataBar minLength="10" maxLength="90" axisPosition="automatic" gradient="false">
              <x14:cfvo type="num">
                <xm:f>0</xm:f>
              </x14:cfvo>
              <x14:cfvo type="num">
                <xm:f>1</xm:f>
              </x14:cfvo>
              <x14:negativeFillColor rgb="FFFF0000"/>
              <x14:axisColor rgb="FF000000"/>
            </x14:dataBar>
          </x14:cfRule>
          <xm:sqref>D16:D23</xm:sqref>
        </x14:conditionalFormatting>
      </x14:conditionalFormattings>
    </ext>
  </extLst>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TotalTime>4</TotalTime>
  <Application>LibreOffice/26.2.2.2$Linux_X86_64 LibreOffice_project/b9471b3c5a2111cbbaf29a51d1151c2156d577ad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2022-03-11T22:41:12Z</dcterms:created>
  <dc:creator>UG-Shad, Dawud</dc:creator>
  <dc:description/>
  <dc:language>en-GB</dc:language>
  <cp:lastModifiedBy/>
  <dcterms:modified xsi:type="dcterms:W3CDTF">2026-04-26T12:05:53Z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